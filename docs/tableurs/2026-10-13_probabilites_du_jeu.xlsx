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pdac\Documents\GameDev and Godot\Roguelike Card Game\roguelike_card_game\docs\tableurs\"/>
    </mc:Choice>
  </mc:AlternateContent>
  <xr:revisionPtr revIDLastSave="0" documentId="13_ncr:1_{CC45D390-1281-4ABC-94EE-63FA71E8C7A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Lisez-moi" sheetId="1" r:id="rId1"/>
    <sheet name="Carte" sheetId="2" r:id="rId2"/>
    <sheet name="Niveau (draft)" sheetId="3" r:id="rId3"/>
    <sheet name="Reliques" sheetId="4" r:id="rId4"/>
    <sheet name="Trouvaille" sheetId="5" r:id="rId5"/>
    <sheet name="Boutique" sheetId="6" r:id="rId6"/>
    <sheet name="Runes" sheetId="7" r:id="rId7"/>
    <sheet name="Critique" sheetId="8" r:id="rId8"/>
    <sheet name="Rencontres" sheetId="9" r:id="rId9"/>
    <sheet name="Événements" sheetId="10" r:id="rId10"/>
    <sheet name="Pioche" sheetId="11" r:id="rId11"/>
    <sheet name="Boss &amp; Miroirs" sheetId="12" r:id="rId12"/>
    <sheet name="Chance (synthèse)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3" l="1"/>
  <c r="M16" i="13"/>
  <c r="M15" i="13"/>
  <c r="M14" i="13"/>
  <c r="M13" i="13"/>
  <c r="M12" i="13"/>
  <c r="M11" i="13"/>
  <c r="M10" i="13"/>
  <c r="M9" i="13"/>
  <c r="M8" i="13"/>
  <c r="M7" i="13"/>
  <c r="M6" i="13"/>
  <c r="M5" i="13"/>
  <c r="B22" i="12"/>
  <c r="B21" i="12"/>
  <c r="B20" i="12"/>
  <c r="B15" i="12"/>
  <c r="B14" i="12"/>
  <c r="B13" i="12"/>
  <c r="B12" i="12"/>
  <c r="B59" i="11"/>
  <c r="B58" i="11"/>
  <c r="B57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D45" i="10"/>
  <c r="C45" i="10"/>
  <c r="B45" i="10"/>
  <c r="D44" i="10"/>
  <c r="C44" i="10"/>
  <c r="B44" i="10"/>
  <c r="D43" i="10"/>
  <c r="C43" i="10"/>
  <c r="B43" i="10"/>
  <c r="D42" i="10"/>
  <c r="C42" i="10"/>
  <c r="B42" i="10"/>
  <c r="D41" i="10"/>
  <c r="C41" i="10"/>
  <c r="B41" i="10"/>
  <c r="D40" i="10"/>
  <c r="C40" i="10"/>
  <c r="B40" i="10"/>
  <c r="D39" i="10"/>
  <c r="C39" i="10"/>
  <c r="B39" i="10"/>
  <c r="D38" i="10"/>
  <c r="C38" i="10"/>
  <c r="B38" i="10"/>
  <c r="D37" i="10"/>
  <c r="C37" i="10"/>
  <c r="B37" i="10"/>
  <c r="D36" i="10"/>
  <c r="C36" i="10"/>
  <c r="B36" i="10"/>
  <c r="D35" i="10"/>
  <c r="C35" i="10"/>
  <c r="B35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C25" i="10"/>
  <c r="C22" i="10"/>
  <c r="C19" i="10"/>
  <c r="C16" i="10"/>
  <c r="C13" i="10"/>
  <c r="C10" i="10"/>
  <c r="C7" i="10"/>
  <c r="B65" i="9"/>
  <c r="B64" i="9"/>
  <c r="B61" i="9"/>
  <c r="B60" i="9"/>
  <c r="B59" i="9"/>
  <c r="B57" i="9"/>
  <c r="B55" i="9"/>
  <c r="B54" i="9"/>
  <c r="B53" i="9"/>
  <c r="B56" i="9" s="1"/>
  <c r="F27" i="9"/>
  <c r="E27" i="9"/>
  <c r="D27" i="9"/>
  <c r="B27" i="9"/>
  <c r="C27" i="9" s="1"/>
  <c r="F26" i="9"/>
  <c r="E26" i="9"/>
  <c r="D26" i="9"/>
  <c r="B26" i="9"/>
  <c r="C26" i="9" s="1"/>
  <c r="F25" i="9"/>
  <c r="E25" i="9"/>
  <c r="D25" i="9"/>
  <c r="B25" i="9"/>
  <c r="C25" i="9" s="1"/>
  <c r="F24" i="9"/>
  <c r="E24" i="9"/>
  <c r="D24" i="9"/>
  <c r="B24" i="9"/>
  <c r="C24" i="9" s="1"/>
  <c r="F23" i="9"/>
  <c r="E23" i="9"/>
  <c r="D23" i="9"/>
  <c r="B23" i="9"/>
  <c r="C23" i="9" s="1"/>
  <c r="F22" i="9"/>
  <c r="E22" i="9"/>
  <c r="D22" i="9"/>
  <c r="B22" i="9"/>
  <c r="C22" i="9" s="1"/>
  <c r="F21" i="9"/>
  <c r="E21" i="9"/>
  <c r="D21" i="9"/>
  <c r="B21" i="9"/>
  <c r="C21" i="9" s="1"/>
  <c r="F20" i="9"/>
  <c r="E20" i="9"/>
  <c r="D20" i="9"/>
  <c r="B20" i="9"/>
  <c r="C20" i="9" s="1"/>
  <c r="F19" i="9"/>
  <c r="E19" i="9"/>
  <c r="D19" i="9"/>
  <c r="B19" i="9"/>
  <c r="C19" i="9" s="1"/>
  <c r="F18" i="9"/>
  <c r="E18" i="9"/>
  <c r="D18" i="9"/>
  <c r="B18" i="9"/>
  <c r="C18" i="9" s="1"/>
  <c r="F17" i="9"/>
  <c r="E17" i="9"/>
  <c r="D17" i="9"/>
  <c r="B17" i="9"/>
  <c r="C17" i="9" s="1"/>
  <c r="F16" i="9"/>
  <c r="E16" i="9"/>
  <c r="D16" i="9"/>
  <c r="B16" i="9"/>
  <c r="C16" i="9" s="1"/>
  <c r="F15" i="9"/>
  <c r="E15" i="9"/>
  <c r="D15" i="9"/>
  <c r="B15" i="9"/>
  <c r="C15" i="9" s="1"/>
  <c r="F14" i="9"/>
  <c r="E14" i="9"/>
  <c r="D14" i="9"/>
  <c r="B14" i="9"/>
  <c r="C14" i="9" s="1"/>
  <c r="F13" i="9"/>
  <c r="E13" i="9"/>
  <c r="D13" i="9"/>
  <c r="B13" i="9"/>
  <c r="C13" i="9" s="1"/>
  <c r="F12" i="9"/>
  <c r="E12" i="9"/>
  <c r="D12" i="9"/>
  <c r="B12" i="9"/>
  <c r="C12" i="9" s="1"/>
  <c r="F11" i="9"/>
  <c r="E11" i="9"/>
  <c r="D11" i="9"/>
  <c r="B11" i="9"/>
  <c r="C11" i="9" s="1"/>
  <c r="F10" i="9"/>
  <c r="E10" i="9"/>
  <c r="D10" i="9"/>
  <c r="B10" i="9"/>
  <c r="C10" i="9" s="1"/>
  <c r="F9" i="9"/>
  <c r="E9" i="9"/>
  <c r="D9" i="9"/>
  <c r="B9" i="9"/>
  <c r="C9" i="9" s="1"/>
  <c r="F8" i="9"/>
  <c r="E8" i="9"/>
  <c r="D8" i="9"/>
  <c r="B8" i="9"/>
  <c r="C8" i="9" s="1"/>
  <c r="C60" i="8"/>
  <c r="C59" i="8"/>
  <c r="C58" i="8"/>
  <c r="C57" i="8"/>
  <c r="B53" i="8"/>
  <c r="B52" i="8"/>
  <c r="I43" i="8"/>
  <c r="H43" i="8"/>
  <c r="G43" i="8"/>
  <c r="F43" i="8"/>
  <c r="E43" i="8"/>
  <c r="D43" i="8"/>
  <c r="C43" i="8"/>
  <c r="B43" i="8"/>
  <c r="I42" i="8"/>
  <c r="H42" i="8"/>
  <c r="G42" i="8"/>
  <c r="F42" i="8"/>
  <c r="E42" i="8"/>
  <c r="D42" i="8"/>
  <c r="C42" i="8"/>
  <c r="B42" i="8"/>
  <c r="I41" i="8"/>
  <c r="H41" i="8"/>
  <c r="G41" i="8"/>
  <c r="F41" i="8"/>
  <c r="E41" i="8"/>
  <c r="D41" i="8"/>
  <c r="C41" i="8"/>
  <c r="B41" i="8"/>
  <c r="I40" i="8"/>
  <c r="H40" i="8"/>
  <c r="G40" i="8"/>
  <c r="F40" i="8"/>
  <c r="E40" i="8"/>
  <c r="D40" i="8"/>
  <c r="C40" i="8"/>
  <c r="B40" i="8"/>
  <c r="I39" i="8"/>
  <c r="H39" i="8"/>
  <c r="G39" i="8"/>
  <c r="F39" i="8"/>
  <c r="E39" i="8"/>
  <c r="D39" i="8"/>
  <c r="C39" i="8"/>
  <c r="B39" i="8"/>
  <c r="I38" i="8"/>
  <c r="H38" i="8"/>
  <c r="G38" i="8"/>
  <c r="F38" i="8"/>
  <c r="E38" i="8"/>
  <c r="D38" i="8"/>
  <c r="C38" i="8"/>
  <c r="B38" i="8"/>
  <c r="I37" i="8"/>
  <c r="H37" i="8"/>
  <c r="G37" i="8"/>
  <c r="F37" i="8"/>
  <c r="E37" i="8"/>
  <c r="D37" i="8"/>
  <c r="C37" i="8"/>
  <c r="B37" i="8"/>
  <c r="I36" i="8"/>
  <c r="H36" i="8"/>
  <c r="G36" i="8"/>
  <c r="F36" i="8"/>
  <c r="E36" i="8"/>
  <c r="D36" i="8"/>
  <c r="C36" i="8"/>
  <c r="B36" i="8"/>
  <c r="I35" i="8"/>
  <c r="H35" i="8"/>
  <c r="G35" i="8"/>
  <c r="F35" i="8"/>
  <c r="E35" i="8"/>
  <c r="D35" i="8"/>
  <c r="C35" i="8"/>
  <c r="B35" i="8"/>
  <c r="I34" i="8"/>
  <c r="H34" i="8"/>
  <c r="G34" i="8"/>
  <c r="F34" i="8"/>
  <c r="E34" i="8"/>
  <c r="D34" i="8"/>
  <c r="C34" i="8"/>
  <c r="B34" i="8"/>
  <c r="I33" i="8"/>
  <c r="H33" i="8"/>
  <c r="G33" i="8"/>
  <c r="F33" i="8"/>
  <c r="E33" i="8"/>
  <c r="D33" i="8"/>
  <c r="C33" i="8"/>
  <c r="B33" i="8"/>
  <c r="I32" i="8"/>
  <c r="H32" i="8"/>
  <c r="G32" i="8"/>
  <c r="F32" i="8"/>
  <c r="E32" i="8"/>
  <c r="D32" i="8"/>
  <c r="C32" i="8"/>
  <c r="B32" i="8"/>
  <c r="I31" i="8"/>
  <c r="H31" i="8"/>
  <c r="G31" i="8"/>
  <c r="F31" i="8"/>
  <c r="E31" i="8"/>
  <c r="D31" i="8"/>
  <c r="C31" i="8"/>
  <c r="B31" i="8"/>
  <c r="I30" i="8"/>
  <c r="H30" i="8"/>
  <c r="G30" i="8"/>
  <c r="F30" i="8"/>
  <c r="E30" i="8"/>
  <c r="D30" i="8"/>
  <c r="C30" i="8"/>
  <c r="B30" i="8"/>
  <c r="I29" i="8"/>
  <c r="H29" i="8"/>
  <c r="G29" i="8"/>
  <c r="F29" i="8"/>
  <c r="E29" i="8"/>
  <c r="D29" i="8"/>
  <c r="C29" i="8"/>
  <c r="B29" i="8"/>
  <c r="I28" i="8"/>
  <c r="H28" i="8"/>
  <c r="G28" i="8"/>
  <c r="F28" i="8"/>
  <c r="E28" i="8"/>
  <c r="D28" i="8"/>
  <c r="C28" i="8"/>
  <c r="B28" i="8"/>
  <c r="I27" i="8"/>
  <c r="H27" i="8"/>
  <c r="G27" i="8"/>
  <c r="F27" i="8"/>
  <c r="E27" i="8"/>
  <c r="D27" i="8"/>
  <c r="C27" i="8"/>
  <c r="B27" i="8"/>
  <c r="I26" i="8"/>
  <c r="H26" i="8"/>
  <c r="G26" i="8"/>
  <c r="F26" i="8"/>
  <c r="E26" i="8"/>
  <c r="D26" i="8"/>
  <c r="C26" i="8"/>
  <c r="B26" i="8"/>
  <c r="I25" i="8"/>
  <c r="H25" i="8"/>
  <c r="G25" i="8"/>
  <c r="F25" i="8"/>
  <c r="E25" i="8"/>
  <c r="D25" i="8"/>
  <c r="C25" i="8"/>
  <c r="B25" i="8"/>
  <c r="I24" i="8"/>
  <c r="H24" i="8"/>
  <c r="G24" i="8"/>
  <c r="F24" i="8"/>
  <c r="E24" i="8"/>
  <c r="D24" i="8"/>
  <c r="C24" i="8"/>
  <c r="B24" i="8"/>
  <c r="I23" i="8"/>
  <c r="H23" i="8"/>
  <c r="G23" i="8"/>
  <c r="F23" i="8"/>
  <c r="E23" i="8"/>
  <c r="D23" i="8"/>
  <c r="C23" i="8"/>
  <c r="B23" i="8"/>
  <c r="H209" i="7"/>
  <c r="E209" i="7"/>
  <c r="H208" i="7"/>
  <c r="E208" i="7"/>
  <c r="H207" i="7"/>
  <c r="E207" i="7"/>
  <c r="H206" i="7"/>
  <c r="E206" i="7"/>
  <c r="H205" i="7"/>
  <c r="E205" i="7"/>
  <c r="H204" i="7"/>
  <c r="E204" i="7"/>
  <c r="H203" i="7"/>
  <c r="E203" i="7"/>
  <c r="H202" i="7"/>
  <c r="E202" i="7"/>
  <c r="H201" i="7"/>
  <c r="E201" i="7"/>
  <c r="H200" i="7"/>
  <c r="E200" i="7"/>
  <c r="H199" i="7"/>
  <c r="E199" i="7"/>
  <c r="H198" i="7"/>
  <c r="E198" i="7"/>
  <c r="H197" i="7"/>
  <c r="E197" i="7"/>
  <c r="H196" i="7"/>
  <c r="E196" i="7"/>
  <c r="H195" i="7"/>
  <c r="E195" i="7"/>
  <c r="H194" i="7"/>
  <c r="E194" i="7"/>
  <c r="H193" i="7"/>
  <c r="E193" i="7"/>
  <c r="H192" i="7"/>
  <c r="E192" i="7"/>
  <c r="H191" i="7"/>
  <c r="E191" i="7"/>
  <c r="H190" i="7"/>
  <c r="E190" i="7"/>
  <c r="H189" i="7"/>
  <c r="E189" i="7"/>
  <c r="H188" i="7"/>
  <c r="E188" i="7"/>
  <c r="H187" i="7"/>
  <c r="E187" i="7"/>
  <c r="H186" i="7"/>
  <c r="E186" i="7"/>
  <c r="H185" i="7"/>
  <c r="E185" i="7"/>
  <c r="H184" i="7"/>
  <c r="E184" i="7"/>
  <c r="H183" i="7"/>
  <c r="E183" i="7"/>
  <c r="H182" i="7"/>
  <c r="E182" i="7"/>
  <c r="H181" i="7"/>
  <c r="E181" i="7"/>
  <c r="H180" i="7"/>
  <c r="E180" i="7"/>
  <c r="H179" i="7"/>
  <c r="E179" i="7"/>
  <c r="H178" i="7"/>
  <c r="E178" i="7"/>
  <c r="H177" i="7"/>
  <c r="E177" i="7"/>
  <c r="H176" i="7"/>
  <c r="E176" i="7"/>
  <c r="H175" i="7"/>
  <c r="E175" i="7"/>
  <c r="H174" i="7"/>
  <c r="E174" i="7"/>
  <c r="H173" i="7"/>
  <c r="E173" i="7"/>
  <c r="H172" i="7"/>
  <c r="E172" i="7"/>
  <c r="H171" i="7"/>
  <c r="E171" i="7"/>
  <c r="H170" i="7"/>
  <c r="E170" i="7"/>
  <c r="H169" i="7"/>
  <c r="E169" i="7"/>
  <c r="H168" i="7"/>
  <c r="E168" i="7"/>
  <c r="H167" i="7"/>
  <c r="E167" i="7"/>
  <c r="H166" i="7"/>
  <c r="E166" i="7"/>
  <c r="H165" i="7"/>
  <c r="E165" i="7"/>
  <c r="H164" i="7"/>
  <c r="E164" i="7"/>
  <c r="H163" i="7"/>
  <c r="E163" i="7"/>
  <c r="H162" i="7"/>
  <c r="E162" i="7"/>
  <c r="H161" i="7"/>
  <c r="E161" i="7"/>
  <c r="H160" i="7"/>
  <c r="E160" i="7"/>
  <c r="H159" i="7"/>
  <c r="E159" i="7"/>
  <c r="H158" i="7"/>
  <c r="E158" i="7"/>
  <c r="H157" i="7"/>
  <c r="E157" i="7"/>
  <c r="H156" i="7"/>
  <c r="E156" i="7"/>
  <c r="H155" i="7"/>
  <c r="E155" i="7"/>
  <c r="H154" i="7"/>
  <c r="E154" i="7"/>
  <c r="H153" i="7"/>
  <c r="E153" i="7"/>
  <c r="H152" i="7"/>
  <c r="E152" i="7"/>
  <c r="H151" i="7"/>
  <c r="E151" i="7"/>
  <c r="H150" i="7"/>
  <c r="E150" i="7"/>
  <c r="H149" i="7"/>
  <c r="E149" i="7"/>
  <c r="H148" i="7"/>
  <c r="E148" i="7"/>
  <c r="H147" i="7"/>
  <c r="E147" i="7"/>
  <c r="H146" i="7"/>
  <c r="E146" i="7"/>
  <c r="H145" i="7"/>
  <c r="E145" i="7"/>
  <c r="H144" i="7"/>
  <c r="E144" i="7"/>
  <c r="H143" i="7"/>
  <c r="E143" i="7"/>
  <c r="H142" i="7"/>
  <c r="E142" i="7"/>
  <c r="H141" i="7"/>
  <c r="E141" i="7"/>
  <c r="H140" i="7"/>
  <c r="E140" i="7"/>
  <c r="H139" i="7"/>
  <c r="E139" i="7"/>
  <c r="H138" i="7"/>
  <c r="E138" i="7"/>
  <c r="H137" i="7"/>
  <c r="E137" i="7"/>
  <c r="H136" i="7"/>
  <c r="E136" i="7"/>
  <c r="H135" i="7"/>
  <c r="E135" i="7"/>
  <c r="H134" i="7"/>
  <c r="E134" i="7"/>
  <c r="H133" i="7"/>
  <c r="E133" i="7"/>
  <c r="H132" i="7"/>
  <c r="E132" i="7"/>
  <c r="H131" i="7"/>
  <c r="E131" i="7"/>
  <c r="H130" i="7"/>
  <c r="E130" i="7"/>
  <c r="H129" i="7"/>
  <c r="E129" i="7"/>
  <c r="H128" i="7"/>
  <c r="E128" i="7"/>
  <c r="H127" i="7"/>
  <c r="E127" i="7"/>
  <c r="H126" i="7"/>
  <c r="E126" i="7"/>
  <c r="H125" i="7"/>
  <c r="E125" i="7"/>
  <c r="H124" i="7"/>
  <c r="E124" i="7"/>
  <c r="H123" i="7"/>
  <c r="E123" i="7"/>
  <c r="H122" i="7"/>
  <c r="E122" i="7"/>
  <c r="H121" i="7"/>
  <c r="E121" i="7"/>
  <c r="H120" i="7"/>
  <c r="E120" i="7"/>
  <c r="H119" i="7"/>
  <c r="E119" i="7"/>
  <c r="H118" i="7"/>
  <c r="E118" i="7"/>
  <c r="H117" i="7"/>
  <c r="E117" i="7"/>
  <c r="H116" i="7"/>
  <c r="E116" i="7"/>
  <c r="H115" i="7"/>
  <c r="E115" i="7"/>
  <c r="H114" i="7"/>
  <c r="E114" i="7"/>
  <c r="H113" i="7"/>
  <c r="E113" i="7"/>
  <c r="H112" i="7"/>
  <c r="E112" i="7"/>
  <c r="H111" i="7"/>
  <c r="E111" i="7"/>
  <c r="H110" i="7"/>
  <c r="E110" i="7"/>
  <c r="H109" i="7"/>
  <c r="E109" i="7"/>
  <c r="H108" i="7"/>
  <c r="E108" i="7"/>
  <c r="H107" i="7"/>
  <c r="E107" i="7"/>
  <c r="H106" i="7"/>
  <c r="E106" i="7"/>
  <c r="H105" i="7"/>
  <c r="E105" i="7"/>
  <c r="H104" i="7"/>
  <c r="E104" i="7"/>
  <c r="H103" i="7"/>
  <c r="E103" i="7"/>
  <c r="H102" i="7"/>
  <c r="E102" i="7"/>
  <c r="H101" i="7"/>
  <c r="E101" i="7"/>
  <c r="H100" i="7"/>
  <c r="E100" i="7"/>
  <c r="H99" i="7"/>
  <c r="E99" i="7"/>
  <c r="H98" i="7"/>
  <c r="E98" i="7"/>
  <c r="H97" i="7"/>
  <c r="E97" i="7"/>
  <c r="H96" i="7"/>
  <c r="E96" i="7"/>
  <c r="H95" i="7"/>
  <c r="E95" i="7"/>
  <c r="H94" i="7"/>
  <c r="E94" i="7"/>
  <c r="H93" i="7"/>
  <c r="E93" i="7"/>
  <c r="H92" i="7"/>
  <c r="E92" i="7"/>
  <c r="H91" i="7"/>
  <c r="E91" i="7"/>
  <c r="H90" i="7"/>
  <c r="E90" i="7"/>
  <c r="H89" i="7"/>
  <c r="E89" i="7"/>
  <c r="H88" i="7"/>
  <c r="E88" i="7"/>
  <c r="H87" i="7"/>
  <c r="E87" i="7"/>
  <c r="H86" i="7"/>
  <c r="E86" i="7"/>
  <c r="H85" i="7"/>
  <c r="E85" i="7"/>
  <c r="H84" i="7"/>
  <c r="E84" i="7"/>
  <c r="H83" i="7"/>
  <c r="E83" i="7"/>
  <c r="H82" i="7"/>
  <c r="E82" i="7"/>
  <c r="H81" i="7"/>
  <c r="E81" i="7"/>
  <c r="H80" i="7"/>
  <c r="E80" i="7"/>
  <c r="H79" i="7"/>
  <c r="E79" i="7"/>
  <c r="H78" i="7"/>
  <c r="E78" i="7"/>
  <c r="H77" i="7"/>
  <c r="E77" i="7"/>
  <c r="H76" i="7"/>
  <c r="E76" i="7"/>
  <c r="H75" i="7"/>
  <c r="E75" i="7"/>
  <c r="H74" i="7"/>
  <c r="E74" i="7"/>
  <c r="H73" i="7"/>
  <c r="E73" i="7"/>
  <c r="H72" i="7"/>
  <c r="E72" i="7"/>
  <c r="H71" i="7"/>
  <c r="E71" i="7"/>
  <c r="H70" i="7"/>
  <c r="E70" i="7"/>
  <c r="H69" i="7"/>
  <c r="E69" i="7"/>
  <c r="H68" i="7"/>
  <c r="E68" i="7"/>
  <c r="H67" i="7"/>
  <c r="E67" i="7"/>
  <c r="H66" i="7"/>
  <c r="E66" i="7"/>
  <c r="H65" i="7"/>
  <c r="E65" i="7"/>
  <c r="H64" i="7"/>
  <c r="E64" i="7"/>
  <c r="H63" i="7"/>
  <c r="E63" i="7"/>
  <c r="H62" i="7"/>
  <c r="E62" i="7"/>
  <c r="H61" i="7"/>
  <c r="E61" i="7"/>
  <c r="H60" i="7"/>
  <c r="E60" i="7"/>
  <c r="H59" i="7"/>
  <c r="E59" i="7"/>
  <c r="H58" i="7"/>
  <c r="E58" i="7"/>
  <c r="H57" i="7"/>
  <c r="E57" i="7"/>
  <c r="H56" i="7"/>
  <c r="E56" i="7"/>
  <c r="H55" i="7"/>
  <c r="E55" i="7"/>
  <c r="H54" i="7"/>
  <c r="E54" i="7"/>
  <c r="H53" i="7"/>
  <c r="E53" i="7"/>
  <c r="H52" i="7"/>
  <c r="E52" i="7"/>
  <c r="H51" i="7"/>
  <c r="E51" i="7"/>
  <c r="H50" i="7"/>
  <c r="E50" i="7"/>
  <c r="H49" i="7"/>
  <c r="E49" i="7"/>
  <c r="H48" i="7"/>
  <c r="E48" i="7"/>
  <c r="H47" i="7"/>
  <c r="E47" i="7"/>
  <c r="H46" i="7"/>
  <c r="E46" i="7"/>
  <c r="H45" i="7"/>
  <c r="E45" i="7"/>
  <c r="H44" i="7"/>
  <c r="E44" i="7"/>
  <c r="H43" i="7"/>
  <c r="E43" i="7"/>
  <c r="H42" i="7"/>
  <c r="E42" i="7"/>
  <c r="H41" i="7"/>
  <c r="E41" i="7"/>
  <c r="H40" i="7"/>
  <c r="E40" i="7"/>
  <c r="H39" i="7"/>
  <c r="E39" i="7"/>
  <c r="H38" i="7"/>
  <c r="E38" i="7"/>
  <c r="H37" i="7"/>
  <c r="E37" i="7"/>
  <c r="H36" i="7"/>
  <c r="E36" i="7"/>
  <c r="H35" i="7"/>
  <c r="E35" i="7"/>
  <c r="H34" i="7"/>
  <c r="E34" i="7"/>
  <c r="H33" i="7"/>
  <c r="E33" i="7"/>
  <c r="H32" i="7"/>
  <c r="E32" i="7"/>
  <c r="H31" i="7"/>
  <c r="E31" i="7"/>
  <c r="H30" i="7"/>
  <c r="E30" i="7"/>
  <c r="H29" i="7"/>
  <c r="E29" i="7"/>
  <c r="H28" i="7"/>
  <c r="E28" i="7"/>
  <c r="H27" i="7"/>
  <c r="E27" i="7"/>
  <c r="H26" i="7"/>
  <c r="E26" i="7"/>
  <c r="H25" i="7"/>
  <c r="E25" i="7"/>
  <c r="H24" i="7"/>
  <c r="E24" i="7"/>
  <c r="H23" i="7"/>
  <c r="E23" i="7"/>
  <c r="B71" i="6"/>
  <c r="B70" i="6"/>
  <c r="B69" i="6"/>
  <c r="B68" i="6"/>
  <c r="B67" i="6"/>
  <c r="B66" i="6"/>
  <c r="H56" i="6"/>
  <c r="G56" i="6"/>
  <c r="F56" i="6"/>
  <c r="E56" i="6"/>
  <c r="D56" i="6"/>
  <c r="H55" i="6"/>
  <c r="G55" i="6"/>
  <c r="F55" i="6"/>
  <c r="E55" i="6"/>
  <c r="D55" i="6"/>
  <c r="H54" i="6"/>
  <c r="G54" i="6"/>
  <c r="F54" i="6"/>
  <c r="E54" i="6"/>
  <c r="D54" i="6"/>
  <c r="H53" i="6"/>
  <c r="G53" i="6"/>
  <c r="F53" i="6"/>
  <c r="E53" i="6"/>
  <c r="D53" i="6"/>
  <c r="H52" i="6"/>
  <c r="G52" i="6"/>
  <c r="F52" i="6"/>
  <c r="E52" i="6"/>
  <c r="D52" i="6"/>
  <c r="B48" i="6"/>
  <c r="B46" i="6"/>
  <c r="B44" i="6"/>
  <c r="B38" i="6"/>
  <c r="E29" i="6"/>
  <c r="D29" i="6"/>
  <c r="F23" i="6"/>
  <c r="E23" i="6"/>
  <c r="D23" i="6"/>
  <c r="E22" i="6"/>
  <c r="D22" i="6"/>
  <c r="D13" i="6"/>
  <c r="B23" i="6" s="1"/>
  <c r="C13" i="6"/>
  <c r="B22" i="6" s="1"/>
  <c r="B13" i="6"/>
  <c r="B21" i="6" s="1"/>
  <c r="C12" i="6"/>
  <c r="B29" i="6" s="1"/>
  <c r="B12" i="6"/>
  <c r="B28" i="6" s="1"/>
  <c r="C11" i="6"/>
  <c r="B11" i="6"/>
  <c r="B49" i="5"/>
  <c r="E42" i="5"/>
  <c r="F42" i="5" s="1"/>
  <c r="D42" i="5"/>
  <c r="C42" i="5"/>
  <c r="B42" i="5"/>
  <c r="E41" i="5"/>
  <c r="F41" i="5" s="1"/>
  <c r="D41" i="5"/>
  <c r="C41" i="5"/>
  <c r="B41" i="5"/>
  <c r="E40" i="5"/>
  <c r="F40" i="5" s="1"/>
  <c r="D40" i="5"/>
  <c r="C40" i="5"/>
  <c r="B40" i="5"/>
  <c r="E39" i="5"/>
  <c r="F39" i="5" s="1"/>
  <c r="D39" i="5"/>
  <c r="C39" i="5"/>
  <c r="B39" i="5"/>
  <c r="E38" i="5"/>
  <c r="F38" i="5" s="1"/>
  <c r="D38" i="5"/>
  <c r="C38" i="5"/>
  <c r="B38" i="5"/>
  <c r="E37" i="5"/>
  <c r="F37" i="5" s="1"/>
  <c r="D37" i="5"/>
  <c r="C37" i="5"/>
  <c r="B37" i="5"/>
  <c r="E36" i="5"/>
  <c r="F36" i="5" s="1"/>
  <c r="D36" i="5"/>
  <c r="C36" i="5"/>
  <c r="B36" i="5"/>
  <c r="E35" i="5"/>
  <c r="F35" i="5" s="1"/>
  <c r="D35" i="5"/>
  <c r="C35" i="5"/>
  <c r="B35" i="5"/>
  <c r="E34" i="5"/>
  <c r="F34" i="5" s="1"/>
  <c r="D34" i="5"/>
  <c r="C34" i="5"/>
  <c r="B34" i="5"/>
  <c r="E33" i="5"/>
  <c r="F33" i="5" s="1"/>
  <c r="D33" i="5"/>
  <c r="C33" i="5"/>
  <c r="B33" i="5"/>
  <c r="E32" i="5"/>
  <c r="F32" i="5" s="1"/>
  <c r="D32" i="5"/>
  <c r="C32" i="5"/>
  <c r="B32" i="5"/>
  <c r="E31" i="5"/>
  <c r="F31" i="5" s="1"/>
  <c r="D31" i="5"/>
  <c r="C31" i="5"/>
  <c r="B31" i="5"/>
  <c r="E30" i="5"/>
  <c r="F30" i="5" s="1"/>
  <c r="D30" i="5"/>
  <c r="C30" i="5"/>
  <c r="B30" i="5"/>
  <c r="E29" i="5"/>
  <c r="F29" i="5" s="1"/>
  <c r="D29" i="5"/>
  <c r="C29" i="5"/>
  <c r="B29" i="5"/>
  <c r="E28" i="5"/>
  <c r="F28" i="5" s="1"/>
  <c r="D28" i="5"/>
  <c r="C28" i="5"/>
  <c r="B28" i="5"/>
  <c r="E27" i="5"/>
  <c r="F27" i="5" s="1"/>
  <c r="D27" i="5"/>
  <c r="C27" i="5"/>
  <c r="B27" i="5"/>
  <c r="E26" i="5"/>
  <c r="F26" i="5" s="1"/>
  <c r="D26" i="5"/>
  <c r="C26" i="5"/>
  <c r="B26" i="5"/>
  <c r="B21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80" i="4"/>
  <c r="C79" i="4"/>
  <c r="C72" i="4"/>
  <c r="C71" i="4"/>
  <c r="C70" i="4"/>
  <c r="C69" i="4"/>
  <c r="C68" i="4"/>
  <c r="C62" i="4"/>
  <c r="E62" i="4" s="1"/>
  <c r="C61" i="4"/>
  <c r="E61" i="4" s="1"/>
  <c r="C60" i="4"/>
  <c r="E60" i="4" s="1"/>
  <c r="C59" i="4"/>
  <c r="E59" i="4" s="1"/>
  <c r="D53" i="4"/>
  <c r="B53" i="4"/>
  <c r="D52" i="4"/>
  <c r="B52" i="4"/>
  <c r="D51" i="4"/>
  <c r="H51" i="4" s="1"/>
  <c r="B51" i="4"/>
  <c r="D50" i="4"/>
  <c r="B50" i="4"/>
  <c r="D49" i="4"/>
  <c r="B49" i="4"/>
  <c r="D48" i="4"/>
  <c r="B48" i="4"/>
  <c r="D47" i="4"/>
  <c r="B47" i="4"/>
  <c r="D46" i="4"/>
  <c r="B46" i="4"/>
  <c r="D45" i="4"/>
  <c r="B45" i="4"/>
  <c r="D44" i="4"/>
  <c r="H44" i="4" s="1"/>
  <c r="B44" i="4"/>
  <c r="G44" i="4" s="1"/>
  <c r="D43" i="4"/>
  <c r="B43" i="4"/>
  <c r="D42" i="4"/>
  <c r="B42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B11" i="4"/>
  <c r="B56" i="3"/>
  <c r="G17" i="13" s="1"/>
  <c r="B55" i="3"/>
  <c r="G16" i="13" s="1"/>
  <c r="B54" i="3"/>
  <c r="G15" i="13" s="1"/>
  <c r="B53" i="3"/>
  <c r="G14" i="13" s="1"/>
  <c r="B52" i="3"/>
  <c r="G13" i="13" s="1"/>
  <c r="B51" i="3"/>
  <c r="G12" i="13" s="1"/>
  <c r="B50" i="3"/>
  <c r="G11" i="13" s="1"/>
  <c r="B49" i="3"/>
  <c r="G10" i="13" s="1"/>
  <c r="B48" i="3"/>
  <c r="G9" i="13" s="1"/>
  <c r="B47" i="3"/>
  <c r="G8" i="13" s="1"/>
  <c r="B46" i="3"/>
  <c r="G7" i="13" s="1"/>
  <c r="B45" i="3"/>
  <c r="G6" i="13" s="1"/>
  <c r="B44" i="3"/>
  <c r="G5" i="13" s="1"/>
  <c r="B35" i="3"/>
  <c r="B34" i="3"/>
  <c r="B33" i="3"/>
  <c r="B32" i="3"/>
  <c r="B26" i="3"/>
  <c r="B17" i="13" s="1"/>
  <c r="B25" i="3"/>
  <c r="B16" i="13" s="1"/>
  <c r="B24" i="3"/>
  <c r="B15" i="13" s="1"/>
  <c r="B23" i="3"/>
  <c r="B14" i="13" s="1"/>
  <c r="B22" i="3"/>
  <c r="B13" i="13" s="1"/>
  <c r="B21" i="3"/>
  <c r="B12" i="13" s="1"/>
  <c r="B20" i="3"/>
  <c r="B19" i="3"/>
  <c r="B10" i="13" s="1"/>
  <c r="B18" i="3"/>
  <c r="B9" i="13" s="1"/>
  <c r="B17" i="3"/>
  <c r="B8" i="13" s="1"/>
  <c r="B16" i="3"/>
  <c r="B7" i="13" s="1"/>
  <c r="B15" i="3"/>
  <c r="B6" i="13" s="1"/>
  <c r="B14" i="3"/>
  <c r="B5" i="13" s="1"/>
  <c r="D92" i="2"/>
  <c r="C92" i="2"/>
  <c r="B92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B60" i="2"/>
  <c r="B61" i="2" s="1"/>
  <c r="B62" i="2" s="1"/>
  <c r="B63" i="2" s="1"/>
  <c r="E43" i="2"/>
  <c r="B21" i="2"/>
  <c r="B20" i="2"/>
  <c r="B19" i="2"/>
  <c r="B18" i="2"/>
  <c r="B22" i="2" s="1"/>
  <c r="B36" i="2" s="1"/>
  <c r="C11" i="2"/>
  <c r="C51" i="2" s="1"/>
  <c r="C10" i="2"/>
  <c r="C9" i="2"/>
  <c r="C52" i="2" s="1"/>
  <c r="C8" i="2"/>
  <c r="C50" i="2" s="1"/>
  <c r="C7" i="2"/>
  <c r="K34" i="4" l="1"/>
  <c r="L17" i="13"/>
  <c r="J34" i="4"/>
  <c r="K17" i="13"/>
  <c r="I34" i="4"/>
  <c r="J17" i="13"/>
  <c r="H34" i="4"/>
  <c r="I17" i="13"/>
  <c r="G34" i="4"/>
  <c r="H17" i="13"/>
  <c r="K33" i="4"/>
  <c r="L16" i="13"/>
  <c r="J33" i="4"/>
  <c r="K16" i="13"/>
  <c r="I33" i="4"/>
  <c r="J16" i="13"/>
  <c r="H33" i="4"/>
  <c r="I16" i="13"/>
  <c r="G33" i="4"/>
  <c r="H16" i="13"/>
  <c r="K32" i="4"/>
  <c r="L15" i="13"/>
  <c r="J32" i="4"/>
  <c r="K15" i="13"/>
  <c r="I32" i="4"/>
  <c r="J15" i="13"/>
  <c r="H32" i="4"/>
  <c r="I15" i="13"/>
  <c r="G32" i="4"/>
  <c r="H15" i="13"/>
  <c r="K31" i="4"/>
  <c r="L14" i="13"/>
  <c r="J31" i="4"/>
  <c r="K14" i="13"/>
  <c r="I31" i="4"/>
  <c r="J14" i="13"/>
  <c r="H31" i="4"/>
  <c r="I14" i="13"/>
  <c r="G31" i="4"/>
  <c r="H14" i="13"/>
  <c r="K30" i="4"/>
  <c r="L13" i="13"/>
  <c r="J30" i="4"/>
  <c r="K13" i="13"/>
  <c r="I30" i="4"/>
  <c r="J13" i="13"/>
  <c r="H30" i="4"/>
  <c r="I13" i="13"/>
  <c r="G30" i="4"/>
  <c r="H13" i="13"/>
  <c r="K29" i="4"/>
  <c r="L12" i="13"/>
  <c r="J29" i="4"/>
  <c r="K12" i="13"/>
  <c r="I29" i="4"/>
  <c r="J12" i="13"/>
  <c r="H29" i="4"/>
  <c r="I12" i="13"/>
  <c r="G29" i="4"/>
  <c r="H12" i="13"/>
  <c r="K28" i="4"/>
  <c r="L11" i="13"/>
  <c r="J28" i="4"/>
  <c r="K11" i="13"/>
  <c r="I28" i="4"/>
  <c r="J11" i="13"/>
  <c r="H28" i="4"/>
  <c r="I11" i="13"/>
  <c r="G28" i="4"/>
  <c r="H11" i="13"/>
  <c r="K27" i="4"/>
  <c r="L10" i="13"/>
  <c r="J27" i="4"/>
  <c r="K10" i="13"/>
  <c r="I27" i="4"/>
  <c r="J10" i="13"/>
  <c r="H27" i="4"/>
  <c r="I10" i="13"/>
  <c r="G27" i="4"/>
  <c r="H10" i="13"/>
  <c r="K26" i="4"/>
  <c r="L9" i="13"/>
  <c r="J26" i="4"/>
  <c r="K9" i="13"/>
  <c r="I26" i="4"/>
  <c r="J9" i="13"/>
  <c r="H26" i="4"/>
  <c r="I9" i="13"/>
  <c r="G26" i="4"/>
  <c r="H9" i="13"/>
  <c r="K25" i="4"/>
  <c r="L8" i="13"/>
  <c r="J25" i="4"/>
  <c r="K8" i="13"/>
  <c r="I25" i="4"/>
  <c r="J8" i="13"/>
  <c r="H25" i="4"/>
  <c r="I8" i="13"/>
  <c r="G25" i="4"/>
  <c r="H8" i="13"/>
  <c r="K24" i="4"/>
  <c r="L7" i="13"/>
  <c r="J24" i="4"/>
  <c r="K7" i="13"/>
  <c r="I24" i="4"/>
  <c r="J7" i="13"/>
  <c r="H24" i="4"/>
  <c r="I7" i="13"/>
  <c r="G24" i="4"/>
  <c r="H7" i="13"/>
  <c r="K23" i="4"/>
  <c r="L6" i="13"/>
  <c r="J23" i="4"/>
  <c r="K6" i="13"/>
  <c r="I23" i="4"/>
  <c r="J6" i="13"/>
  <c r="H23" i="4"/>
  <c r="I6" i="13"/>
  <c r="G23" i="4"/>
  <c r="H6" i="13"/>
  <c r="K22" i="4"/>
  <c r="L5" i="13"/>
  <c r="J22" i="4"/>
  <c r="K5" i="13"/>
  <c r="I22" i="4"/>
  <c r="J5" i="13"/>
  <c r="H22" i="4"/>
  <c r="I5" i="13"/>
  <c r="G22" i="4"/>
  <c r="H5" i="13"/>
  <c r="I71" i="9"/>
  <c r="I69" i="9"/>
  <c r="I68" i="9"/>
  <c r="I70" i="9"/>
  <c r="B63" i="9"/>
  <c r="B62" i="9"/>
  <c r="G29" i="6"/>
  <c r="H29" i="6"/>
  <c r="G28" i="6"/>
  <c r="H28" i="6"/>
  <c r="G23" i="6"/>
  <c r="I23" i="6"/>
  <c r="H23" i="6"/>
  <c r="G22" i="6"/>
  <c r="H22" i="6"/>
  <c r="I22" i="6"/>
  <c r="G21" i="6"/>
  <c r="H21" i="6"/>
  <c r="I21" i="6"/>
  <c r="B24" i="6"/>
  <c r="H53" i="4"/>
  <c r="C53" i="4"/>
  <c r="E53" i="4" s="1"/>
  <c r="H52" i="4"/>
  <c r="C52" i="4"/>
  <c r="C51" i="4"/>
  <c r="E51" i="4" s="1"/>
  <c r="H50" i="4"/>
  <c r="C50" i="4"/>
  <c r="H49" i="4"/>
  <c r="C49" i="4"/>
  <c r="H48" i="4"/>
  <c r="C48" i="4"/>
  <c r="H47" i="4"/>
  <c r="C47" i="4"/>
  <c r="H46" i="4"/>
  <c r="C46" i="4"/>
  <c r="H45" i="4"/>
  <c r="G45" i="4"/>
  <c r="F45" i="4"/>
  <c r="E45" i="4"/>
  <c r="C45" i="4"/>
  <c r="C44" i="4"/>
  <c r="F44" i="4"/>
  <c r="E44" i="4"/>
  <c r="H43" i="4"/>
  <c r="G43" i="4"/>
  <c r="F43" i="4"/>
  <c r="E43" i="4"/>
  <c r="C43" i="4"/>
  <c r="H42" i="4"/>
  <c r="G42" i="4"/>
  <c r="F42" i="4"/>
  <c r="C42" i="4"/>
  <c r="E42" i="4"/>
  <c r="D56" i="3"/>
  <c r="F56" i="3" s="1"/>
  <c r="E56" i="3"/>
  <c r="C56" i="3"/>
  <c r="C55" i="3"/>
  <c r="D55" i="3"/>
  <c r="F55" i="3" s="1"/>
  <c r="E55" i="3"/>
  <c r="C54" i="3"/>
  <c r="D54" i="3"/>
  <c r="F54" i="3" s="1"/>
  <c r="E54" i="3"/>
  <c r="C53" i="3"/>
  <c r="D53" i="3"/>
  <c r="F53" i="3" s="1"/>
  <c r="E53" i="3"/>
  <c r="C52" i="3"/>
  <c r="D52" i="3"/>
  <c r="F52" i="3" s="1"/>
  <c r="E52" i="3"/>
  <c r="E51" i="3"/>
  <c r="D51" i="3"/>
  <c r="F51" i="3" s="1"/>
  <c r="C51" i="3"/>
  <c r="E50" i="3"/>
  <c r="D50" i="3"/>
  <c r="F50" i="3" s="1"/>
  <c r="C50" i="3"/>
  <c r="E49" i="3"/>
  <c r="D49" i="3"/>
  <c r="F49" i="3" s="1"/>
  <c r="C49" i="3"/>
  <c r="C48" i="3"/>
  <c r="D48" i="3"/>
  <c r="F48" i="3" s="1"/>
  <c r="E48" i="3"/>
  <c r="D47" i="3"/>
  <c r="F47" i="3" s="1"/>
  <c r="E47" i="3"/>
  <c r="C47" i="3"/>
  <c r="C46" i="3"/>
  <c r="D46" i="3"/>
  <c r="F46" i="3" s="1"/>
  <c r="E46" i="3"/>
  <c r="D45" i="3"/>
  <c r="F45" i="3" s="1"/>
  <c r="E45" i="3"/>
  <c r="C45" i="3"/>
  <c r="E44" i="3"/>
  <c r="D44" i="3"/>
  <c r="F44" i="3" s="1"/>
  <c r="C44" i="3"/>
  <c r="H26" i="3"/>
  <c r="C26" i="3"/>
  <c r="C25" i="3"/>
  <c r="H25" i="3"/>
  <c r="H24" i="3"/>
  <c r="C24" i="3"/>
  <c r="H23" i="3"/>
  <c r="C23" i="3"/>
  <c r="C22" i="3"/>
  <c r="H22" i="3"/>
  <c r="C21" i="3"/>
  <c r="I21" i="3" s="1"/>
  <c r="H21" i="3"/>
  <c r="B11" i="13"/>
  <c r="H20" i="3"/>
  <c r="C20" i="3"/>
  <c r="C19" i="3"/>
  <c r="I19" i="3" s="1"/>
  <c r="H19" i="3"/>
  <c r="H18" i="3"/>
  <c r="C18" i="3"/>
  <c r="I18" i="3" s="1"/>
  <c r="C17" i="3"/>
  <c r="I17" i="3" s="1"/>
  <c r="H17" i="3"/>
  <c r="H16" i="3"/>
  <c r="C16" i="3"/>
  <c r="C15" i="3"/>
  <c r="H15" i="3"/>
  <c r="H14" i="3"/>
  <c r="C14" i="3"/>
  <c r="B38" i="2"/>
  <c r="B39" i="2"/>
  <c r="E39" i="2" s="1"/>
  <c r="B40" i="2"/>
  <c r="E40" i="2" s="1"/>
  <c r="B41" i="2"/>
  <c r="E41" i="2" s="1"/>
  <c r="B42" i="2"/>
  <c r="E42" i="2" s="1"/>
  <c r="B48" i="2"/>
  <c r="C12" i="2"/>
  <c r="C53" i="2"/>
  <c r="B58" i="9"/>
  <c r="I24" i="6" l="1"/>
  <c r="I23" i="3"/>
  <c r="D23" i="3"/>
  <c r="C13" i="13"/>
  <c r="I22" i="3"/>
  <c r="D22" i="3"/>
  <c r="E15" i="3"/>
  <c r="E6" i="13" s="1"/>
  <c r="D15" i="3"/>
  <c r="F15" i="3" s="1"/>
  <c r="F6" i="13" s="1"/>
  <c r="I15" i="3"/>
  <c r="G69" i="9"/>
  <c r="G70" i="9"/>
  <c r="G71" i="9"/>
  <c r="G68" i="9"/>
  <c r="F68" i="9"/>
  <c r="H68" i="9" s="1"/>
  <c r="J68" i="9" s="1"/>
  <c r="F71" i="9"/>
  <c r="H71" i="9" s="1"/>
  <c r="J71" i="9" s="1"/>
  <c r="F69" i="9"/>
  <c r="H69" i="9" s="1"/>
  <c r="J69" i="9" s="1"/>
  <c r="F70" i="9"/>
  <c r="H70" i="9" s="1"/>
  <c r="J70" i="9" s="1"/>
  <c r="G24" i="6"/>
  <c r="B57" i="6"/>
  <c r="H24" i="6"/>
  <c r="B25" i="6"/>
  <c r="I51" i="4"/>
  <c r="F51" i="4"/>
  <c r="G51" i="4"/>
  <c r="J44" i="4"/>
  <c r="L44" i="4"/>
  <c r="I44" i="4"/>
  <c r="K44" i="4"/>
  <c r="C15" i="13"/>
  <c r="C8" i="13"/>
  <c r="C6" i="13"/>
  <c r="E38" i="2"/>
  <c r="B44" i="2"/>
  <c r="D50" i="2"/>
  <c r="D51" i="2"/>
  <c r="D53" i="2"/>
  <c r="D52" i="2"/>
  <c r="F53" i="4"/>
  <c r="G53" i="4"/>
  <c r="K53" i="4" s="1"/>
  <c r="I53" i="4"/>
  <c r="J53" i="4"/>
  <c r="L53" i="4"/>
  <c r="G52" i="4"/>
  <c r="F52" i="4"/>
  <c r="E52" i="4"/>
  <c r="F50" i="4"/>
  <c r="G50" i="4"/>
  <c r="E50" i="4"/>
  <c r="E49" i="4"/>
  <c r="G49" i="4"/>
  <c r="F49" i="4"/>
  <c r="E48" i="4"/>
  <c r="G48" i="4"/>
  <c r="F48" i="4"/>
  <c r="G47" i="4"/>
  <c r="E47" i="4"/>
  <c r="F47" i="4"/>
  <c r="G46" i="4"/>
  <c r="F46" i="4"/>
  <c r="E46" i="4"/>
  <c r="J45" i="4"/>
  <c r="K45" i="4"/>
  <c r="I45" i="4"/>
  <c r="L45" i="4"/>
  <c r="L43" i="4"/>
  <c r="J43" i="4"/>
  <c r="K43" i="4"/>
  <c r="I43" i="4"/>
  <c r="M43" i="4" s="1"/>
  <c r="K42" i="4"/>
  <c r="I42" i="4"/>
  <c r="L42" i="4"/>
  <c r="J42" i="4"/>
  <c r="C17" i="13"/>
  <c r="I26" i="3"/>
  <c r="D26" i="3"/>
  <c r="G26" i="3"/>
  <c r="J26" i="3" s="1"/>
  <c r="E26" i="3"/>
  <c r="E17" i="13" s="1"/>
  <c r="C16" i="13"/>
  <c r="I25" i="3"/>
  <c r="D25" i="3"/>
  <c r="G25" i="3" s="1"/>
  <c r="J25" i="3" s="1"/>
  <c r="E25" i="3"/>
  <c r="E16" i="13" s="1"/>
  <c r="I24" i="3"/>
  <c r="D24" i="3"/>
  <c r="G24" i="3" s="1"/>
  <c r="J24" i="3" s="1"/>
  <c r="C14" i="13"/>
  <c r="C12" i="13"/>
  <c r="D21" i="3"/>
  <c r="C11" i="13"/>
  <c r="D20" i="3"/>
  <c r="I20" i="3"/>
  <c r="C10" i="13"/>
  <c r="D19" i="3"/>
  <c r="C9" i="13"/>
  <c r="D18" i="3"/>
  <c r="E18" i="3" s="1"/>
  <c r="D17" i="3"/>
  <c r="C7" i="13"/>
  <c r="I16" i="3"/>
  <c r="D16" i="3"/>
  <c r="C5" i="13"/>
  <c r="I14" i="3"/>
  <c r="D14" i="3"/>
  <c r="G14" i="3" s="1"/>
  <c r="J14" i="3" s="1"/>
  <c r="G15" i="3" l="1"/>
  <c r="J15" i="3" s="1"/>
  <c r="D6" i="13"/>
  <c r="M42" i="4"/>
  <c r="E23" i="3"/>
  <c r="D14" i="13"/>
  <c r="G23" i="3"/>
  <c r="J23" i="3" s="1"/>
  <c r="E22" i="3"/>
  <c r="D13" i="13"/>
  <c r="G22" i="3"/>
  <c r="J22" i="3" s="1"/>
  <c r="C75" i="9"/>
  <c r="B72" i="9"/>
  <c r="D75" i="9"/>
  <c r="D78" i="9"/>
  <c r="C78" i="9"/>
  <c r="D76" i="9"/>
  <c r="C76" i="9"/>
  <c r="D77" i="9"/>
  <c r="C77" i="9"/>
  <c r="K52" i="4"/>
  <c r="L52" i="4"/>
  <c r="J52" i="4"/>
  <c r="I52" i="4"/>
  <c r="L50" i="4"/>
  <c r="K50" i="4"/>
  <c r="J50" i="4"/>
  <c r="I50" i="4"/>
  <c r="I49" i="4"/>
  <c r="J49" i="4"/>
  <c r="L49" i="4"/>
  <c r="K49" i="4"/>
  <c r="I48" i="4"/>
  <c r="J48" i="4"/>
  <c r="L48" i="4"/>
  <c r="K48" i="4"/>
  <c r="K47" i="4"/>
  <c r="L47" i="4"/>
  <c r="J47" i="4"/>
  <c r="I47" i="4"/>
  <c r="M47" i="4" s="1"/>
  <c r="L46" i="4"/>
  <c r="J46" i="4"/>
  <c r="I46" i="4"/>
  <c r="K46" i="4"/>
  <c r="F26" i="3"/>
  <c r="F17" i="13" s="1"/>
  <c r="D17" i="13"/>
  <c r="F25" i="3"/>
  <c r="F16" i="13" s="1"/>
  <c r="D16" i="13"/>
  <c r="E21" i="3"/>
  <c r="D12" i="13"/>
  <c r="E19" i="3"/>
  <c r="G19" i="3"/>
  <c r="J19" i="3" s="1"/>
  <c r="D10" i="13"/>
  <c r="G18" i="3"/>
  <c r="J18" i="3" s="1"/>
  <c r="D9" i="13"/>
  <c r="E14" i="3"/>
  <c r="D5" i="13"/>
  <c r="M45" i="4"/>
  <c r="M53" i="4"/>
  <c r="M44" i="4"/>
  <c r="J51" i="4"/>
  <c r="K51" i="4"/>
  <c r="L51" i="4"/>
  <c r="D15" i="13"/>
  <c r="E24" i="3"/>
  <c r="E14" i="13"/>
  <c r="F23" i="3"/>
  <c r="F14" i="13" s="1"/>
  <c r="G21" i="3"/>
  <c r="J21" i="3" s="1"/>
  <c r="D11" i="13"/>
  <c r="G20" i="3"/>
  <c r="J20" i="3" s="1"/>
  <c r="E20" i="3"/>
  <c r="F18" i="3"/>
  <c r="F9" i="13" s="1"/>
  <c r="E9" i="13"/>
  <c r="D8" i="13"/>
  <c r="G17" i="3"/>
  <c r="J17" i="3" s="1"/>
  <c r="E17" i="3"/>
  <c r="D7" i="13"/>
  <c r="G16" i="3"/>
  <c r="J16" i="3" s="1"/>
  <c r="E16" i="3"/>
  <c r="F22" i="3" l="1"/>
  <c r="F13" i="13" s="1"/>
  <c r="E13" i="13"/>
  <c r="B75" i="9"/>
  <c r="B76" i="9"/>
  <c r="B77" i="9"/>
  <c r="B78" i="9"/>
  <c r="H75" i="9"/>
  <c r="G75" i="9"/>
  <c r="F75" i="9"/>
  <c r="E75" i="9"/>
  <c r="H78" i="9"/>
  <c r="E78" i="9"/>
  <c r="F78" i="9"/>
  <c r="G78" i="9"/>
  <c r="H76" i="9"/>
  <c r="G76" i="9"/>
  <c r="F76" i="9"/>
  <c r="E76" i="9"/>
  <c r="H77" i="9"/>
  <c r="F77" i="9"/>
  <c r="E77" i="9"/>
  <c r="G77" i="9"/>
  <c r="F19" i="3"/>
  <c r="F10" i="13" s="1"/>
  <c r="E10" i="13"/>
  <c r="F14" i="3"/>
  <c r="F5" i="13" s="1"/>
  <c r="E5" i="13"/>
  <c r="F24" i="3"/>
  <c r="F15" i="13" s="1"/>
  <c r="E15" i="13"/>
  <c r="F17" i="3"/>
  <c r="F8" i="13" s="1"/>
  <c r="E8" i="13"/>
  <c r="M50" i="4"/>
  <c r="M49" i="4"/>
  <c r="M48" i="4"/>
  <c r="M46" i="4"/>
  <c r="M51" i="4"/>
  <c r="M52" i="4"/>
  <c r="E12" i="13"/>
  <c r="F21" i="3"/>
  <c r="F12" i="13" s="1"/>
  <c r="E11" i="13"/>
  <c r="F20" i="3"/>
  <c r="F11" i="13" s="1"/>
  <c r="E7" i="13"/>
  <c r="F16" i="3"/>
  <c r="F7" i="13" s="1"/>
</calcChain>
</file>

<file path=xl/sharedStrings.xml><?xml version="1.0" encoding="utf-8"?>
<sst xmlns="http://schemas.openxmlformats.org/spreadsheetml/2006/main" count="1404" uniqueCount="741">
  <si>
    <t>Hero's Draft — Toutes les probabilités du jeu</t>
  </si>
  <si>
    <t>Version du jeu : 0.5.5 (branche main, commit 0ec09ab, lue le 13/10/2026). Un onglet par système de tirage.</t>
  </si>
  <si>
    <t>Comment lire ce classeur</t>
  </si>
  <si>
    <t>Texte bleu</t>
  </si>
  <si>
    <t>Valeur lue telle quelle dans le code Dart ou dans un fichier JSON de assets/data/. Modifiable pour tester un changement d'équilibrage.</t>
  </si>
  <si>
    <t>Texte bleu sur fond jaune</t>
  </si>
  <si>
    <t>Paramètre de scénario (acte, Chance, taille de deck…) : à saisir pour explorer un cas.</t>
  </si>
  <si>
    <t>Texte noir</t>
  </si>
  <si>
    <t>Formule : se recalcule quand une entrée change.</t>
  </si>
  <si>
    <t>Texte vert</t>
  </si>
  <si>
    <t>Lien vers un autre onglet de ce classeur.</t>
  </si>
  <si>
    <t>Probabilités</t>
  </si>
  <si>
    <t>Toujours stockées en fraction (0,25 = 25 %). Les poids « en points » du code (ex. 2 + 0,5 × Chance) sont gardés en points, la colonne de probabilité les convertit.</t>
  </si>
  <si>
    <t>Ligne « Source »</t>
  </si>
  <si>
    <t>Fichier et fonction du dépôt où vit la règle. Toute valeur du classeur a été relue dans ce fichier le 13/10/2026.</t>
  </si>
  <si>
    <t>Valeurs figées</t>
  </si>
  <si>
    <t>Quelques cellules (tirage de 3 runes sans remise) sont calculées par énumération en Python et notées comme telles : une formule Excel ne sait pas les écrire.</t>
  </si>
  <si>
    <t>Les onglets</t>
  </si>
  <si>
    <t>Onglet</t>
  </si>
  <si>
    <t>Contenu</t>
  </si>
  <si>
    <t>Carte</t>
  </si>
  <si>
    <t>Génération de la carte du monde : type des nœuds, largeur des étages, quotas, connexions, Autel et Puits.</t>
  </si>
  <si>
    <t>Niveau (draft)</t>
  </si>
  <si>
    <t>Récompenses de montée de niveau : rareté des trois emplacements selon la Chance, mythiques, choix proposés.</t>
  </si>
  <si>
    <t>Reliques</t>
  </si>
  <si>
    <t>Butin de reliques : élite et événement, relique améliorée du boss, Autel d'échange, Colporteur, pool par rareté.</t>
  </si>
  <si>
    <t>Trouvaille</t>
  </si>
  <si>
    <t>Cartes trouvées après un combat : combat normal, élite, reliques qui modulent, pool de 17 neutres, copies cumulées.</t>
  </si>
  <si>
    <t>Boutique</t>
  </si>
  <si>
    <t>Étal : rareté selon l'acte, runes pré-forgées, niveau des runes, tirage de l'étal, copie du deck, prix.</t>
  </si>
  <si>
    <t>Runes</t>
  </si>
  <si>
    <t>Tirage pondéré des runes à la fusion et en boutique, carte par carte, au rang 1 et au rang 2+.</t>
  </si>
  <si>
    <t>Critique</t>
  </si>
  <si>
    <t>Coup critique : chances par classe, ennemi, relique, rune et récompense ; multiplicateur attendu.</t>
  </si>
  <si>
    <t>Rencontres</t>
  </si>
  <si>
    <t>Composition d'un combat : tiers débloqués, nombre maximal d'ennemis, tirage uniforme parmi les candidats qui tiennent dans le budget, calculateur.</t>
  </si>
  <si>
    <t>Événements</t>
  </si>
  <si>
    <t>Sept événements à parts égales, chances cumulées, choix et conditions.</t>
  </si>
  <si>
    <t>Pioche</t>
  </si>
  <si>
    <t>Main d'ouverture et pioche : loi hypergéométrique, cartes vues au tour t, remélange.</t>
  </si>
  <si>
    <t>Boss &amp; Miroirs</t>
  </si>
  <si>
    <t>Récompenses de boss et clonages : cartes tirées dans le deck, rune montée par le boss d'XP.</t>
  </si>
  <si>
    <t>Chance (synthèse)</t>
  </si>
  <si>
    <t>Tout ce que la statistique Chance modifie, sur une seule page.</t>
  </si>
  <si>
    <t>Les systèmes sans aucun tirage (prix, courbe d'XP, difficulté par acte, valeurs des cartes et des runes) sont dans le second classeur : 2026-10-13_systemes_et_calculs.xlsx.</t>
  </si>
  <si>
    <t>Génération de la carte du monde</t>
  </si>
  <si>
    <t>MapGeneratorService.generateMap(floors: 10, maxWidth: 5, act) — lib/services/map/*.dart</t>
  </si>
  <si>
    <t>A. Type d'un nœud sur un étage libre (étages 1-4 et 6-7)</t>
  </si>
  <si>
    <t>Source : lib/services/map/map_node_generator.dart, getRandomNodeType : r = nextDouble(), seuils cumulés</t>
  </si>
  <si>
    <t>Type</t>
  </si>
  <si>
    <t>Seuil cumulé (r &lt;)</t>
  </si>
  <si>
    <t>Probabilité</t>
  </si>
  <si>
    <t>Note</t>
  </si>
  <si>
    <t>Combat</t>
  </si>
  <si>
    <t>L'étage 0 est 100 % combat : aucun tirage.</t>
  </si>
  <si>
    <t>Événement</t>
  </si>
  <si>
    <t>Repos</t>
  </si>
  <si>
    <t>Élite</t>
  </si>
  <si>
    <t>Total</t>
  </si>
  <si>
    <t>B. Largeur d'un étage</t>
  </si>
  <si>
    <t>Source : map_node_generator.dart : rowWidth = 2 + nextInt(maxWidth - 1) → uniforme de 2 à maxWidth</t>
  </si>
  <si>
    <t>maxWidth</t>
  </si>
  <si>
    <t>Largeur</t>
  </si>
  <si>
    <t>Largeur attendue E[w]</t>
  </si>
  <si>
    <t>C. Étages à règle fixe (10 étages, 0 à 9)</t>
  </si>
  <si>
    <t>Source : map_node_generator.dart generateRawNodes : middleFloor = floors ~/ 2 ; étage floors-2 repos ; étage floors-1 trois boss</t>
  </si>
  <si>
    <t>Étage</t>
  </si>
  <si>
    <t>Type imposé</t>
  </si>
  <si>
    <t>Récompense de boss (x = 0 / 1 / 2)</t>
  </si>
  <si>
    <t>2 à 5</t>
  </si>
  <si>
    <t>Combat (entrée)</t>
  </si>
  <si>
    <t>1-4, 6-7</t>
  </si>
  <si>
    <t>Tirage de la section A</t>
  </si>
  <si>
    <t>Élite (goulet)</t>
  </si>
  <si>
    <t>Boss</t>
  </si>
  <si>
    <t>Cartes (x=0) / XP triple + rune montée (x=1) / Relique améliorée (x=2) — choix du joueur, pas de tirage</t>
  </si>
  <si>
    <t>D. Nombre attendu de nœuds par type, avant le solveur de quotas</t>
  </si>
  <si>
    <t>Source : GameConstants.nodeQuotas (lib/game/game_constants.dart) ; MapValidator.balanceQuotas convertit des nœuds jusqu'à respecter min et max</t>
  </si>
  <si>
    <t>Étages libres (tirés)</t>
  </si>
  <si>
    <t>étages 1, 2, 3, 4, 6, 7</t>
  </si>
  <si>
    <t>Nœuds tirés au hasard E[n]</t>
  </si>
  <si>
    <t>soit étages libres × largeur attendue</t>
  </si>
  <si>
    <t>Attendu (tirage)</t>
  </si>
  <si>
    <t>Quota min</t>
  </si>
  <si>
    <t>Quota max</t>
  </si>
  <si>
    <t>Sous le min ?</t>
  </si>
  <si>
    <t>Lecture</t>
  </si>
  <si>
    <t>l'étage 0 ajoute E[w] combats</t>
  </si>
  <si>
    <t>le goulet ajoute 1 élite</t>
  </si>
  <si>
    <t>l'étage 8 ajoute E[w] repos</t>
  </si>
  <si>
    <t>attendu sous le min : le solveur relève, les événements sont plus fréquents que 15 %</t>
  </si>
  <si>
    <t>Total attendu</t>
  </si>
  <si>
    <t>E. Chance que le tirage brut respecte déjà les minimums (loi binomiale sur les nœuds tirés, n arrondi)</t>
  </si>
  <si>
    <t>Approximation : n = E[n] arrondi ; pour les repos et les combats les étages fixes couvrent presque toujours le minimum.</t>
  </si>
  <si>
    <t>n (nœuds tirés, arrondi)</t>
  </si>
  <si>
    <t>Contrainte</t>
  </si>
  <si>
    <t>Besoin parmi n</t>
  </si>
  <si>
    <t>p</t>
  </si>
  <si>
    <t>P(respectée)</t>
  </si>
  <si>
    <t>Événements ≥ 4</t>
  </si>
  <si>
    <t>Élites ≥ 3 (goulet = 1 déjà)</t>
  </si>
  <si>
    <t>Boutiques ≥ 2</t>
  </si>
  <si>
    <t>Combats ≥ 12 (étage 0 à 2 combats au pire)</t>
  </si>
  <si>
    <t>Quand une contrainte n'est pas respectée, le solveur convertit un nœud d'un type en excédent (jamais les étages 0, 5, 8, 9) ; la distribution finale n'est donc pas exactement celle de la section A.</t>
  </si>
  <si>
    <t>F. Connexions entre deux étages</t>
  </si>
  <si>
    <t>Source : lib/services/map/map_connection_builder.dart : numConnections = 1 + nextInt(2) ; offset = nextInt(3) - 1 ; cibles dédoublonnées ; tout nœud injoignable reçoit un lien</t>
  </si>
  <si>
    <t>P(1 tentative de lien)</t>
  </si>
  <si>
    <t>P(2 tentatives de lien)</t>
  </si>
  <si>
    <t>P(chaque décalage -1 / 0 / +1)</t>
  </si>
  <si>
    <t>P(deux décalages identiques)</t>
  </si>
  <si>
    <t>les deux tentatives visent le même nœud → une seule sortie</t>
  </si>
  <si>
    <t>P(un nœud a 2 sorties distinctes)</t>
  </si>
  <si>
    <t>hors effet de bord (clamp aux extrémités de l'étage)</t>
  </si>
  <si>
    <t>P(un nœud n'a qu'1 sortie)</t>
  </si>
  <si>
    <t>G. Nœuds spéciaux posés après coup (MapContentPlacer)</t>
  </si>
  <si>
    <t>Source : lib/services/map/map_content_placer.dart : Autel si act ≥ 5 et (act % 5 == 0 ou nextDouble() &lt; 0,10) ; Puits si act % 3 == 0</t>
  </si>
  <si>
    <t>Autel : premier acte possible</t>
  </si>
  <si>
    <t>Autel : garanti tous les</t>
  </si>
  <si>
    <t>actes</t>
  </si>
  <si>
    <t>Autel : chance sinon</t>
  </si>
  <si>
    <t>Puits : garanti tous les</t>
  </si>
  <si>
    <t>actes (jamais sinon)</t>
  </si>
  <si>
    <t>Acte</t>
  </si>
  <si>
    <t>P(Autel d'échange)</t>
  </si>
  <si>
    <t>P(Puits d'échange)</t>
  </si>
  <si>
    <t>Étages candidats Autel</t>
  </si>
  <si>
    <t>Étages candidats Puits</t>
  </si>
  <si>
    <t>2, 3, 4, 6, 7 (tout type)</t>
  </si>
  <si>
    <t>3 à 7, combat ou événement seulement</t>
  </si>
  <si>
    <t>Le nœud remplacé est tiré uniformément parmi les candidats ; l'Autel est posé avant le Puits, un nœud devenu Autel n'est plus candidat au Puits.</t>
  </si>
  <si>
    <t>H. Anti-répétition</t>
  </si>
  <si>
    <t>Source : MapValidator.optimizeMapTypes : 3 Élites ou 3 Repos consécutifs sur un chemin → le troisième devient Combat, Boutique ou Événement, à parts égales (1/3 chacun)</t>
  </si>
  <si>
    <t>Type de remplacement</t>
  </si>
  <si>
    <t>Récompenses de montée de niveau</t>
  </si>
  <si>
    <t>LevelUpRewardService (lib/game/services/level_up_reward_service.dart) — trois emplacements tirés + un jet par mythique</t>
  </si>
  <si>
    <t>A. Poids de rareté d'un emplacement (en points de %, selon la Chance)</t>
  </si>
  <si>
    <t>Source : LevelUpRewardService._slotWeights : légendaire 2 + 0,5 L ; épique 6 + 1,5 L ; rare 16 + 3 L ; peu commune 24 + 4 L ; commune = le reste. slotRarityChances borne chaque poids entre 0 et ce qui reste de 100.</t>
  </si>
  <si>
    <t>Rareté</t>
  </si>
  <si>
    <t>Base (pts)</t>
  </si>
  <si>
    <t>Par point de Chance</t>
  </si>
  <si>
    <t>Légendaire</t>
  </si>
  <si>
    <t>Épique</t>
  </si>
  <si>
    <t>Rare</t>
  </si>
  <si>
    <t>Peu commune</t>
  </si>
  <si>
    <t>B. Probabilité de chaque rareté pour UN emplacement, par niveau de Chance</t>
  </si>
  <si>
    <t>Chance</t>
  </si>
  <si>
    <t>Commune</t>
  </si>
  <si>
    <t>Rare ou mieux</t>
  </si>
  <si>
    <t>P(≥1 légendaire sur 3)</t>
  </si>
  <si>
    <t>P(≥1 épique+ sur 3)</t>
  </si>
  <si>
    <t>Espérance d'emplacements rare+ (sur 3)</t>
  </si>
  <si>
    <t>Chance 0 : 2 / 6 / 16 / 24 / 52 %. La fiche des probabilités en jeu (ProbabilitiesDialog) lit la même table.</t>
  </si>
  <si>
    <t>C. Quelle récompense dans un emplacement ?</t>
  </si>
  <si>
    <t>Source : generateChoices : chaque emplacement tire uniformément une récompense du pool « draft » (rareté tirée séparément) ; Affinité se retire si le passif actif n'a pas de bloc mastery (les 9 passifs livrés en ont un)</t>
  </si>
  <si>
    <t>Récompenses tirables (pool draft)</t>
  </si>
  <si>
    <t>Affinité, Férocité, Précision, Aiguisage, Vitalité</t>
  </si>
  <si>
    <t>P(une récompense donnée dans 1 emplacement)</t>
  </si>
  <si>
    <t>P(une récompense donnée apparaît au moins 1 fois sur 3)</t>
  </si>
  <si>
    <t>P(les 3 emplacements proposent la même)</t>
  </si>
  <si>
    <t>P(trois récompenses différentes)</t>
  </si>
  <si>
    <t>D. Les mythiques : un jet indépendant par récompense « mythic »</t>
  </si>
  <si>
    <t>Source : rollRarity(isLevelReward: true) : mythicChance = 0,5 + 0,15 × Chance (en points) ; un jet par mythique éligible, ajoutée aux trois emplacements</t>
  </si>
  <si>
    <t>Par point de Chance (pts)</t>
  </si>
  <si>
    <t>Mythiques toujours éligibles</t>
  </si>
  <si>
    <t>Trèfle à 4 feuilles, Miroir, Sagesse</t>
  </si>
  <si>
    <t>Mythiques conditionnelles</t>
  </si>
  <si>
    <t>Transcendance (requires: raisableRune)</t>
  </si>
  <si>
    <t>p (par mythique)</t>
  </si>
  <si>
    <t>P(≥1 mythique), 3 éligibles</t>
  </si>
  <si>
    <t>P(≥1 mythique), 4 éligibles</t>
  </si>
  <si>
    <t>Mythiques attendues (4)</t>
  </si>
  <si>
    <t>Montées de niveau avant la 1re (4), en moyenne</t>
  </si>
  <si>
    <t>Chance 0 : 0,5 % par mythique, soit 1,5 % (3 jets) à 2 % (4 jets) de voir au moins une mythique à une montée de niveau.</t>
  </si>
  <si>
    <t>E. Valeurs des récompenses par rareté (assets/data/level_up_rewards/*.json)</t>
  </si>
  <si>
    <t>Récompense</t>
  </si>
  <si>
    <t>Stat</t>
  </si>
  <si>
    <t>Mythique</t>
  </si>
  <si>
    <t>Pool</t>
  </si>
  <si>
    <t>Condition</t>
  </si>
  <si>
    <t>Vitalité</t>
  </si>
  <si>
    <t>maxHp</t>
  </si>
  <si>
    <t>draft</t>
  </si>
  <si>
    <t>Aiguisage</t>
  </si>
  <si>
    <t>might</t>
  </si>
  <si>
    <t>Affinité</t>
  </si>
  <si>
    <t>mastery</t>
  </si>
  <si>
    <t>passiveMastery</t>
  </si>
  <si>
    <t>Sagesse</t>
  </si>
  <si>
    <t>maxMana</t>
  </si>
  <si>
    <t>mythic</t>
  </si>
  <si>
    <t>Précision</t>
  </si>
  <si>
    <t>critChance</t>
  </si>
  <si>
    <t>Férocité</t>
  </si>
  <si>
    <t>critDamage</t>
  </si>
  <si>
    <t>Trèfle à 4 feuilles</t>
  </si>
  <si>
    <t>luck</t>
  </si>
  <si>
    <t>Miroir</t>
  </si>
  <si>
    <t>cloneCard</t>
  </si>
  <si>
    <t>Transcendance</t>
  </si>
  <si>
    <t>raiseRuneCap</t>
  </si>
  <si>
    <t>raisableRune</t>
  </si>
  <si>
    <t>Férocité : la valeur est en points de %, appliquée au multiplicateur de critique ÷ 100 (+10 % → ×1,6).</t>
  </si>
  <si>
    <t>F. Cas forcé (tutoriel / debug : forceLegendary)</t>
  </si>
  <si>
    <t>Les trois emplacements sont fixés Peu commune / Épique / Légendaire et chaque mythique sort à coup sûr. Aucun tirage.</t>
  </si>
  <si>
    <t>Butin de reliques</t>
  </si>
  <si>
    <t>RewardController.handleVictory, EventController.selectChoice('gain_relic'), RelicExchangeScreen</t>
  </si>
  <si>
    <t>A. Le pool : 28 reliques par rareté (assets/data/relics/*.json)</t>
  </si>
  <si>
    <t>Nombre</t>
  </si>
  <si>
    <t>Bandage de voyage, Talisman de Fer, Bottes en cuir, Pièce de chance, Pierre à aiguiser</t>
  </si>
  <si>
    <t>Bouclier Ancestral, Lame Maudite, Porte-bonheur, Plume de scribe, Rune de Protection, Croc Vampirique</t>
  </si>
  <si>
    <t>Registre des primes, Lentille de Focalisation, Sacoche du glaneur, Encensoir, Croc Kunaï, Amulette du Mage, Cristal de Mana, Anneau de Régénération, Shuriken, Essence Spirituelle</t>
  </si>
  <si>
    <t>Pierre d'Énergie, Trèfle Enchanté, Plume de Phénix</t>
  </si>
  <si>
    <t>Couronne des Rois, Dé de Fortune, Meule, Besace de l'Érudit</t>
  </si>
  <si>
    <t>Une relique déjà possédée n'est pas exclue du tirage (filtre par rareté seulement) : les doublons sont possibles, et leurs effets s'additionnent.</t>
  </si>
  <si>
    <t>B. Élite et événement (gain_relic) : poids en points selon la Chance</t>
  </si>
  <si>
    <t>Source : reward_controller.dart l.165-168 et event_controller.dart l.174-177 : légendaire 1 + 0,5 L ; épique 5 + L ; rare 14 + 2 L ; peu commune 20 + 3 L ; commune = le reste (cascade : roll &lt; cumul)</t>
  </si>
  <si>
    <t>P(une légendaire précise)</t>
  </si>
  <si>
    <t>P(une épique précise)</t>
  </si>
  <si>
    <t>P(une rare précise)</t>
  </si>
  <si>
    <t>P(une peu commune précise)</t>
  </si>
  <si>
    <t>P(une commune précise)</t>
  </si>
  <si>
    <t>Chance 0 : 1 / 5 / 14 / 20 / 60 %. Tiré pour : tout nœud Élite gagné, et les choix d'événement portant gain_relic (Marchand fugitif ×2, Feu de camp abandonné ×1).</t>
  </si>
  <si>
    <t>C. Boss « relique améliorée » (x = 2) : poids selon l'acte et la Chance</t>
  </si>
  <si>
    <t>Source : reward_controller.dart l.142-163 : légendaire 10 + 0,5 L ; part commune 40 − 10 × (acte − 1) jusqu'à 0 ; le reste de 90 réparti 20/35/30 (peu commune/rare/épique) sur 85 ; dès que la commune est à 0, la peu commune décroît de 10 par acte depuis 21,18 et le reste se répartit 35/30 sur 65 ; bonus de Chance : +3 / +2 / +1 pts</t>
  </si>
  <si>
    <t>La fiche de règles (_rules/02-1) écrit « exclut totalement les communes » et « 15/30/35/20 % » : le code tire 40 % de communes à l'acte 1 et 10 % de légendaires. Ce classeur suit le code.</t>
  </si>
  <si>
    <t>Chance du scénario</t>
  </si>
  <si>
    <t>Part commune (pts)</t>
  </si>
  <si>
    <t>Base peu commune si commune = 0</t>
  </si>
  <si>
    <t>Poids légendaire</t>
  </si>
  <si>
    <t>Poids épique</t>
  </si>
  <si>
    <t>Poids rare</t>
  </si>
  <si>
    <t>Poids peu commune</t>
  </si>
  <si>
    <t>P(Légendaire)</t>
  </si>
  <si>
    <t>P(Épique)</t>
  </si>
  <si>
    <t>P(Rare)</t>
  </si>
  <si>
    <t>P(Peu commune)</t>
  </si>
  <si>
    <t>P(Commune)</t>
  </si>
  <si>
    <t>Somme</t>
  </si>
  <si>
    <t>Acte 1, Chance 0 : 10 / 17,6 / 20,6 / 11,8 / 40 %. Acte 5+ : plus de commune ; acte 8+ : plus de peu commune, 10 / 41,5 / 48,5 %.</t>
  </si>
  <si>
    <t>D. Autel d'échange de reliques : rareté offerte</t>
  </si>
  <si>
    <t>Source : relic_exchange_screen.dart l.124-146 : Random(seed = node.id.hashCode ^ act) ; r &lt; 0,40 peu commune, &lt; 0,75 rare, &lt; 0,95 épique, sinon légendaire ; 3 reliques de la rareté juste en dessous à sacrifier</t>
  </si>
  <si>
    <t>Rareté offerte</t>
  </si>
  <si>
    <t>Seuil cumulé</t>
  </si>
  <si>
    <t>À sacrifier (×3)</t>
  </si>
  <si>
    <t>P(une relique précise de cette rareté)</t>
  </si>
  <si>
    <t>Le tirage est déterministe par nœud et par acte : quitter et revenir redonne la même relique.</t>
  </si>
  <si>
    <t>E. Colporteur (événement relic_peddler) : la relique cédée</t>
  </si>
  <si>
    <t>Source : EventController._drawTradedRelic : la (ou une des) relique(s) de plus petite rareté, uniforme parmi les ex æquo ; or = 40 × (rang + 1), rang commune = 0</t>
  </si>
  <si>
    <t>Rareté cédée</t>
  </si>
  <si>
    <t>Rang</t>
  </si>
  <si>
    <t>Or reçu (vente)</t>
  </si>
  <si>
    <t>Remèdes : soin</t>
  </si>
  <si>
    <t>20 % des PV max, si PV &lt; 50 %</t>
  </si>
  <si>
    <t>P(une relique précise parmi k ex æquo)</t>
  </si>
  <si>
    <t>1 / k</t>
  </si>
  <si>
    <t>k = nombre de reliques possédées à la plus petite rareté</t>
  </si>
  <si>
    <t>F. Où tombe une relique ?</t>
  </si>
  <si>
    <t>Nœud / choix</t>
  </si>
  <si>
    <t>Jet de rareté</t>
  </si>
  <si>
    <t>Fréquence</t>
  </si>
  <si>
    <t>Élite gagné</t>
  </si>
  <si>
    <t>Section B (Chance)</t>
  </si>
  <si>
    <t>1 relique garantie par élite</t>
  </si>
  <si>
    <t>Boss, nœud « relique » (x = 2)</t>
  </si>
  <si>
    <t>Section C (acte, Chance)</t>
  </si>
  <si>
    <t>1 relique garantie, au choix du joueur</t>
  </si>
  <si>
    <t>Marchand fugitif — 2 choix sur 3</t>
  </si>
  <si>
    <t>Section B</t>
  </si>
  <si>
    <t>part des nœuds Événement qui proposent cet événement</t>
  </si>
  <si>
    <t>Feu de camp abandonné — 1 choix sur 3</t>
  </si>
  <si>
    <t>Autel d'échange</t>
  </si>
  <si>
    <t>Section D</t>
  </si>
  <si>
    <t>Voir onglet Carte §G</t>
  </si>
  <si>
    <t>La trouvaille : des cartes après chaque combat</t>
  </si>
  <si>
    <t>CardDrops.roll (lib/game/systems/card_drops.dart) + GameConstants.cardDrops + RewardController.handleVictory</t>
  </si>
  <si>
    <t>A. Règles par type de nœud</t>
  </si>
  <si>
    <t>Source : GameConstants.cardDrops : combat (1 garantie) ; élite (1 garantie, puis un jet à 25 % pour une seconde) ; boss et autres : aucune</t>
  </si>
  <si>
    <t>Combat : cartes garanties</t>
  </si>
  <si>
    <t>Élite : cartes garanties</t>
  </si>
  <si>
    <t>Élite : chance d'une seconde (pts)</t>
  </si>
  <si>
    <t>Registre des primes : +pts sur ce jet, par exemplaire</t>
  </si>
  <si>
    <t>relic bounty_ledger (rare)</t>
  </si>
  <si>
    <t>Sacoche du glaneur : +cartes garanties (combat), par exemplaire</t>
  </si>
  <si>
    <t>relic gleaners_pouch (rare)</t>
  </si>
  <si>
    <t>Exemplaires de la relique</t>
  </si>
  <si>
    <t>Combat : cartes attendues</t>
  </si>
  <si>
    <t>Élite : P(2e carte)</t>
  </si>
  <si>
    <t>Élite : cartes attendues</t>
  </si>
  <si>
    <t>La Sacoche n'agit que sur le combat normal, le Registre que sur l'élite ; jamais l'une sur le nœud de l'autre, jamais sur un boss (D31, D57).</t>
  </si>
  <si>
    <t>B. Quelle carte ? Tirage uniforme AVEC remise parmi les cartes offrables (CardData.isOfferableTo)</t>
  </si>
  <si>
    <t>Cartes offrables (neutres, non uniques)</t>
  </si>
  <si>
    <t>Éveil, Concentration, Défense, Forme Démoniaque, Boule de Feu, Focalisation, Potion de Soin, Frappe Lourde, Trait de Glace, Mur de Fer, Métallisation, Coup Empoisonné, Attaque Rapide, Frappe, Balayage, Coup de Tonnerre, Cri de Guerre</t>
  </si>
  <si>
    <t>P(une carte précise, par carte trouvée)</t>
  </si>
  <si>
    <t>Les cartes de classe (rareté unique) ne sont jamais trouvées ; une trouvaille est toujours commune, sans rune.</t>
  </si>
  <si>
    <t>C. Copies cumulées d'une carte précise après n cartes trouvées (loi binomiale, p = 1/pool)</t>
  </si>
  <si>
    <t>n cartes trouvées</t>
  </si>
  <si>
    <t>Copies attendues</t>
  </si>
  <si>
    <t>P(≥ 1 copie)</t>
  </si>
  <si>
    <t>P(≥ 2 copies)</t>
  </si>
  <si>
    <t>P(≥ 3 copies) = fusion possible</t>
  </si>
  <si>
    <t>Cartes du pool avec ≥ 3 copies (attendu)</t>
  </si>
  <si>
    <t>D. Cartes trouvées par acte (scénario de parcours)</t>
  </si>
  <si>
    <t>Combats normaux sur le chemin d'un acte</t>
  </si>
  <si>
    <t>Élites sur le chemin d'un acte</t>
  </si>
  <si>
    <t>Sacoches portées</t>
  </si>
  <si>
    <t>Registres portés</t>
  </si>
  <si>
    <t>Cartes trouvées par acte (attendu)</t>
  </si>
  <si>
    <t>La simulation D26 (docs/possible_upgrades/30-09-2026_simulation_D26_economie_Fable5.md) mesure un deck médian de 15 cartes à l'acte 3 et 36 à l'acte 15.</t>
  </si>
  <si>
    <t>Boutique : l'étal et ses tirages</t>
  </si>
  <si>
    <t>ShopController (lib/game/controllers/shop_controller.dart) + ShopScreen pour les prix</t>
  </si>
  <si>
    <t>A. Rareté finale d'une carte en vente, selon l'acte</t>
  </si>
  <si>
    <t>Source : ShopController._rollRarity : acte 1 → +1 rang si roll &lt; 10 ; acte 2 → +1 si roll &lt; 25 ; acte ≥ 3 → +2 si roll &lt; 10, +1 si roll &lt; 50. Toutes les cartes offrables sont communes : +0 = commune, +1 = peu commune, +2 = rare.</t>
  </si>
  <si>
    <t>Acte 1 : seuil +1 (pts)</t>
  </si>
  <si>
    <t>Acte 2 : seuil +1 (pts)</t>
  </si>
  <si>
    <t>Acte ≥ 3 : seuil +2 (pts)</t>
  </si>
  <si>
    <t>Acte ≥ 3 : seuil +1 (pts, cumulé)</t>
  </si>
  <si>
    <t>3 et plus</t>
  </si>
  <si>
    <t>B. Runes pré-forgées : nombre tiré, puis borné par le rang de fusion de la rareté finale</t>
  </si>
  <si>
    <t>Source : _generateShopCardInstance : acte 1 → 0 ; acte 2 → 1 si roll &lt; 15 ; acte ≥ 3 → 2 si roll &lt; 10, 1 si roll &lt; 40 ; maxUpgrades = fusionRank (commune 0, peu commune 1, rare 2) ; une rune sans candidat éligible est perdue</t>
  </si>
  <si>
    <t>Acte 2 : seuil 1 rune (pts)</t>
  </si>
  <si>
    <t>Acte ≥ 3 : seuil 2 runes (pts)</t>
  </si>
  <si>
    <t>Acte ≥ 3 : seuil 1 rune (pts, cumulé)</t>
  </si>
  <si>
    <t>Acte ≥ 3 — rareté finale</t>
  </si>
  <si>
    <t>P(rareté)</t>
  </si>
  <si>
    <t>Plafond de runes</t>
  </si>
  <si>
    <t>P(0 rune | rareté)</t>
  </si>
  <si>
    <t>P(1 rune | rareté)</t>
  </si>
  <si>
    <t>P(2 runes | rareté)</t>
  </si>
  <si>
    <t>P(rareté ∧ 0)</t>
  </si>
  <si>
    <t>P(rareté ∧ 1)</t>
  </si>
  <si>
    <t>P(rareté ∧ 2)</t>
  </si>
  <si>
    <t>Total (acte ≥ 3)</t>
  </si>
  <si>
    <t>Runes attendues par carte (acte ≥ 3)</t>
  </si>
  <si>
    <t>Acte 2 — rareté finale</t>
  </si>
  <si>
    <t>Acte 1 : jamais de rune (aucun jet). La rune elle-même est tirée comme à la fusion : onglet Runes.</t>
  </si>
  <si>
    <t>C. Niveau d'une rune pré-forgée</t>
  </si>
  <si>
    <t>Source : _rollRandomUpgrade : roll &lt; 80 → niveau 1 ; &lt; 95 → 2 ; sinon 3 ; puis borné par maxLevel + bonus Transcendance</t>
  </si>
  <si>
    <t>Niveau tiré</t>
  </si>
  <si>
    <t>Runes à plafond 1 (toujours niveau 1)</t>
  </si>
  <si>
    <t>Allégé, Économe, Persistant, Congelant, Véloce</t>
  </si>
  <si>
    <t>Niveau attendu (rune sans plafond)</t>
  </si>
  <si>
    <t>D. L'étal : quelles cartes ?</t>
  </si>
  <si>
    <t>Source : initializeShop : cartes offrables mélangées, les 3 + bonus premières (sans remise) ; copie du deck : uniforme parmi DeckState.copyableCards</t>
  </si>
  <si>
    <t>Cartes offrables</t>
  </si>
  <si>
    <t>Cartes en vente (3 + expansions achetées)</t>
  </si>
  <si>
    <t>P(une carte précise est à l'étal)</t>
  </si>
  <si>
    <t>soit n / 17 (tirage sans remise)</t>
  </si>
  <si>
    <t>Cartes copiables du deck (deck − cartes de classe)</t>
  </si>
  <si>
    <t>P(une carte précise du deck est la copie proposée)</t>
  </si>
  <si>
    <t>même rareté, sans rune ; tirée une fois par nœud, la relance ne la touche pas</t>
  </si>
  <si>
    <t>Miroir magique : options proposées</t>
  </si>
  <si>
    <t>3 cartes copiables au hasard, choix du joueur</t>
  </si>
  <si>
    <t>P(une carte précise du deck parmi les 3 options)</t>
  </si>
  <si>
    <t>E. Prix (ShopController.getCardPrice, ShopScreen, ShopState.clonePrice)</t>
  </si>
  <si>
    <t>Prix de base</t>
  </si>
  <si>
    <t>+ par rune</t>
  </si>
  <si>
    <t>0 rune</t>
  </si>
  <si>
    <t>1 rune</t>
  </si>
  <si>
    <t>2 runes</t>
  </si>
  <si>
    <t>3 runes</t>
  </si>
  <si>
    <t>4 runes</t>
  </si>
  <si>
    <t>Prix attendu d'une carte à l'étal (acte ≥ 3)</t>
  </si>
  <si>
    <t>Service</t>
  </si>
  <si>
    <t>Prix</t>
  </si>
  <si>
    <t>Relance de l'étal</t>
  </si>
  <si>
    <t>à chaque relance</t>
  </si>
  <si>
    <t>Potion de soin</t>
  </si>
  <si>
    <t>30 % des PV max, une fois par boutique</t>
  </si>
  <si>
    <t>Purge d'une carte</t>
  </si>
  <si>
    <t>Expansion (+1 carte à l'étal, permanent)</t>
  </si>
  <si>
    <t>Miroir magique, n-ième achat dans la même boutique</t>
  </si>
  <si>
    <t>150 × 2^n</t>
  </si>
  <si>
    <t>150 → 300 → 600 → 1200 (clonePrice = 150 &lt;&lt; n)</t>
  </si>
  <si>
    <t>Clonages déjà faits ici (n)</t>
  </si>
  <si>
    <t>Prix du suivant</t>
  </si>
  <si>
    <t>Tirage des runes (fusion 3→1, boutique pré-forgée, Puits)</t>
  </si>
  <si>
    <t>ForgeRuneRules.isEligible + drawRunes (lib/game/services/forge_rune_rules.dart) — pondéré par weight, sans remise</t>
  </si>
  <si>
    <t>A. Catalogue des runes (assets/data/forge_upgrades/*.json)</t>
  </si>
  <si>
    <t>Rune</t>
  </si>
  <si>
    <t>id</t>
  </si>
  <si>
    <t>Poids</t>
  </si>
  <si>
    <t>Rang min</t>
  </si>
  <si>
    <t>Plafond</t>
  </si>
  <si>
    <t>Binaire</t>
  </si>
  <si>
    <t>Éligibilité</t>
  </si>
  <si>
    <t>Brûlant</t>
  </si>
  <si>
    <t>burning</t>
  </si>
  <si>
    <t>aucun</t>
  </si>
  <si>
    <t>types attack</t>
  </si>
  <si>
    <t>Allégé</t>
  </si>
  <si>
    <t>cheap</t>
  </si>
  <si>
    <t>oui</t>
  </si>
  <si>
    <t>coût ≥ 1 ; exclut eco</t>
  </si>
  <si>
    <t>Économe</t>
  </si>
  <si>
    <t>eco</t>
  </si>
  <si>
    <t>types attack/skill/power ; coût ≥ 1</t>
  </si>
  <si>
    <t>Persistant</t>
  </si>
  <si>
    <t>enduring</t>
  </si>
  <si>
    <t>types attack/skill/power ; sans effet gain_mana/draw ; carte à Épuisement ; exclut eco/quick</t>
  </si>
  <si>
    <t>Congelant</t>
  </si>
  <si>
    <t>freezing</t>
  </si>
  <si>
    <t>Endurci</t>
  </si>
  <si>
    <t>hardened</t>
  </si>
  <si>
    <t>effet armor</t>
  </si>
  <si>
    <t>Précis</t>
  </si>
  <si>
    <t>precise</t>
  </si>
  <si>
    <t>effet damage</t>
  </si>
  <si>
    <t>Véloce</t>
  </si>
  <si>
    <t>quick</t>
  </si>
  <si>
    <t>types attack/skill/power</t>
  </si>
  <si>
    <t>Tranchant</t>
  </si>
  <si>
    <t>sharp</t>
  </si>
  <si>
    <t>Surchargé</t>
  </si>
  <si>
    <t>shocking</t>
  </si>
  <si>
    <t>Spectral</t>
  </si>
  <si>
    <t>spectral</t>
  </si>
  <si>
    <t>Une rune portée ne se repropose jamais ; deux runes qui s'excluent ne cohabitent pas (Allégé/Économe ; Persistant/Économe/Véloce). Aucune rune sur une commune ni sur une carte unique (rang 0).</t>
  </si>
  <si>
    <t>B. Probabilité de chaque rune, carte par carte (avant toute rune portée)</t>
  </si>
  <si>
    <t>Source : Colonnes « 1 tirage » : poids / somme des poids éligibles (formule). Colonnes « parmi 3 » : chance d'être dans l'offre de 3 runes de la fusion, énumération exacte des tirages pondérés sans remise (Python, valeur figée).</t>
  </si>
  <si>
    <t>Rang 1 = la carte vient de devenir peu commune (1re fusion) ; rang 2+ = rare ou mieux (Économe et Véloce deviennent éligibles). Les cartes de classe (uniques) ne reçoivent jamais de rune.</t>
  </si>
  <si>
    <t>Élig. r1</t>
  </si>
  <si>
    <t>P (1 tirage) r1</t>
  </si>
  <si>
    <t>P (parmi 3) r1</t>
  </si>
  <si>
    <t>Élig. r2+</t>
  </si>
  <si>
    <t>P (1 tirage) r2+</t>
  </si>
  <si>
    <t>P (parmi 3) r2+</t>
  </si>
  <si>
    <t>Pourquoi inéligible (r1)</t>
  </si>
  <si>
    <t>Éveil (skill, coût 1)</t>
  </si>
  <si>
    <t>type de carte</t>
  </si>
  <si>
    <t>rang 2 requis</t>
  </si>
  <si>
    <t>pas d'Épuisement</t>
  </si>
  <si>
    <t>effet absent</t>
  </si>
  <si>
    <t>Concentration (skill, coût 0)</t>
  </si>
  <si>
    <t>coût 0</t>
  </si>
  <si>
    <t>Défense (skill, coût 1)</t>
  </si>
  <si>
    <t>Forme Démoniaque (power, coût 2)</t>
  </si>
  <si>
    <t>Boule de Feu (attack, coût 2)</t>
  </si>
  <si>
    <t>Focalisation (skill, coût 0)</t>
  </si>
  <si>
    <t>Potion de Soin (skill, coût 1)</t>
  </si>
  <si>
    <t>Frappe Lourde (attack, coût 2)</t>
  </si>
  <si>
    <t>Trait de Glace (attack, coût 1)</t>
  </si>
  <si>
    <t>Mur de Fer (skill, coût 2)</t>
  </si>
  <si>
    <t>Métallisation (power, coût 1)</t>
  </si>
  <si>
    <t>Coup Empoisonné (attack, coût 1)</t>
  </si>
  <si>
    <t>Attaque Rapide (attack, coût 1)</t>
  </si>
  <si>
    <t>Frappe (attack, coût 1)</t>
  </si>
  <si>
    <t>Balayage (attack, coût 1)</t>
  </si>
  <si>
    <t>Coup de Tonnerre (attack, coût 1)</t>
  </si>
  <si>
    <t>Cri de Guerre (attack, coût 2)</t>
  </si>
  <si>
    <t>Concentration et Focalisation (coût 0) n'ont AUCUNE rune éligible au rang 1 : leur première fusion se fait sans offre de rune ; au rang 2+, seule Véloce leur est proposée (100 %).</t>
  </si>
  <si>
    <t>C. Les autres tirages de rune</t>
  </si>
  <si>
    <t>Situation</t>
  </si>
  <si>
    <t>Règle</t>
  </si>
  <si>
    <t>Fusion 3→1</t>
  </si>
  <si>
    <t>3 runes distinctes offertes (parmi 3 ci-dessus), le joueur en choisit 1, posée au niveau 1</t>
  </si>
  <si>
    <t>choix du joueur</t>
  </si>
  <si>
    <t>Boutique (pré-forgée)</t>
  </si>
  <si>
    <t>1 rune par tirage (colonnes « 1 tirage »), niveau 80/15/5 %</t>
  </si>
  <si>
    <t>voir Boutique §B-C</t>
  </si>
  <si>
    <t>Puits d'échange</t>
  </si>
  <si>
    <t>toutes les runes éligibles sauf la rune donnée sont proposées : aucun tirage</t>
  </si>
  <si>
    <t>Boss « XP » (x = 1)</t>
  </si>
  <si>
    <t>une paire (carte, rune) uniforme parmi les paires du deck dont la rune est sous son plafond</t>
  </si>
  <si>
    <t>1 / nombre de paires</t>
  </si>
  <si>
    <t>Rémouleur (événement)</t>
  </si>
  <si>
    <t>le joueur choisit la carte et la rune</t>
  </si>
  <si>
    <t>Feu de camp — affûter</t>
  </si>
  <si>
    <t>le joueur choisit, 50 or × niveau</t>
  </si>
  <si>
    <t>Coup critique</t>
  </si>
  <si>
    <t>DamagePipeline.calculate (nextInt(100) &lt; critChance effective + bonus de rune) ; HealEffectStrategy pour les soins ; EntityStats.critMultiplier = 1,5</t>
  </si>
  <si>
    <t>A. Sources de chance de critique (points de %)</t>
  </si>
  <si>
    <t>Source</t>
  </si>
  <si>
    <t>Valeur</t>
  </si>
  <si>
    <t>Portée</t>
  </si>
  <si>
    <t>Classe : Le Berserker</t>
  </si>
  <si>
    <t>permanente</t>
  </si>
  <si>
    <t>class.json</t>
  </si>
  <si>
    <t>Classe : Le Mage</t>
  </si>
  <si>
    <t>Classe : Le Paladin</t>
  </si>
  <si>
    <t>Relique : Lentille de Focalisation (Rare)</t>
  </si>
  <si>
    <t>toute la run</t>
  </si>
  <si>
    <t>startOfRun</t>
  </si>
  <si>
    <t>Relique : Porte-bonheur (Peu commune)</t>
  </si>
  <si>
    <t>Relique : Pièce de chance (Commune)</t>
  </si>
  <si>
    <t>Récompense Précision (par palier)</t>
  </si>
  <si>
    <t>1 / 2 / 3 / 4 / 5</t>
  </si>
  <si>
    <t>commune → légendaire</t>
  </si>
  <si>
    <t>Rune Précis (par niveau, max 10)</t>
  </si>
  <si>
    <t>les dégâts de la carte seulement</t>
  </si>
  <si>
    <t>jamais le soin</t>
  </si>
  <si>
    <t>Ennemi : Gobelin</t>
  </si>
  <si>
    <t>ses attaques</t>
  </si>
  <si>
    <t>enemy.json</t>
  </si>
  <si>
    <t>Ennemi : Orc Furieux</t>
  </si>
  <si>
    <t>Ennemi : Slime</t>
  </si>
  <si>
    <t>Ennemi : Squelette</t>
  </si>
  <si>
    <t>B. Multiplicateur et dégâts attendus</t>
  </si>
  <si>
    <t>Multiplicateur de base</t>
  </si>
  <si>
    <t>EntityStats.critMultiplier ; Férocité ajoute +0,10 à +0,50</t>
  </si>
  <si>
    <t>Chance (pts)</t>
  </si>
  <si>
    <t>×1,5</t>
  </si>
  <si>
    <t>×1,6</t>
  </si>
  <si>
    <t>×1,8</t>
  </si>
  <si>
    <t>×2,0</t>
  </si>
  <si>
    <t>×2,5</t>
  </si>
  <si>
    <t>×3,0</t>
  </si>
  <si>
    <t>P(≥1 crit sur 3 attaques)</t>
  </si>
  <si>
    <t>P(≥1 crit sur 5 attaques)</t>
  </si>
  <si>
    <t>Multiplicateur →</t>
  </si>
  <si>
    <t>Facteur de dégâts attendu = 1 + p × (m − 1). Une chance ≥ 100 critique toujours.</t>
  </si>
  <si>
    <t>C. Exemple de cumul (Berserker)</t>
  </si>
  <si>
    <t>Classe Berserker</t>
  </si>
  <si>
    <t>Porte-bonheur</t>
  </si>
  <si>
    <t>Lentille de Focalisation</t>
  </si>
  <si>
    <t>Précision légendaire</t>
  </si>
  <si>
    <t>Rune Précis niveau 3 (sur cette carte)</t>
  </si>
  <si>
    <t>Chance de critique sur cette carte</t>
  </si>
  <si>
    <t>Sur un soin (sans la rune)</t>
  </si>
  <si>
    <t>D. Ennemis : facteur de dégâts attendu de leurs attaques</t>
  </si>
  <si>
    <t>Ennemi</t>
  </si>
  <si>
    <t>Chance crit (pts)</t>
  </si>
  <si>
    <t>Facteur attendu (×1,5)</t>
  </si>
  <si>
    <t>Gobelin</t>
  </si>
  <si>
    <t>Orc Furieux</t>
  </si>
  <si>
    <t>Slime</t>
  </si>
  <si>
    <t>Squelette</t>
  </si>
  <si>
    <t>Composition d'un combat</t>
  </si>
  <si>
    <t>EncounterSystem.generateEnemiesForLevel (lib/game/systems/encounter_system.dart) — le seul tirage : un candidat uniforme parmi ceux qui tiennent dans le budget restant</t>
  </si>
  <si>
    <t>A. Tiers débloqués et nombre maximal d'ennemis, par acte</t>
  </si>
  <si>
    <t>Source : getUnlockedTier = min(3, 1 + (acte−1) ÷ 5) ; max ennemis : normal 1 + (acte−1), élite 1 + (acte−1) ÷ 2, boss 1 + (acte−1) ÷ 5 ; 5 ennemis actifs au plus, le reste en réserve</t>
  </si>
  <si>
    <t>Déblocage de tier tous les</t>
  </si>
  <si>
    <t>Tier max</t>
  </si>
  <si>
    <t>Ennemis éligibles</t>
  </si>
  <si>
    <t>Max normal</t>
  </si>
  <si>
    <t>Max élite</t>
  </si>
  <si>
    <t>Max boss</t>
  </si>
  <si>
    <t>B. Intentions d'un ennemi</t>
  </si>
  <si>
    <t>Source : CombatController.rollIntent : si l'ennemi a une liste intents, cycle déterministe ; sinon attaque 60 %, défense 25 % (5 + nextInt(6) armure), buff 15 % (+2 Puissance)</t>
  </si>
  <si>
    <t>Pattern (cycle)</t>
  </si>
  <si>
    <t>Tirage ?</t>
  </si>
  <si>
    <t>attack 5</t>
  </si>
  <si>
    <t>non — cycle fixe</t>
  </si>
  <si>
    <t>attack 8 → buff 2 → attack 12</t>
  </si>
  <si>
    <t>attack 4</t>
  </si>
  <si>
    <t>attack 8 → attack 10</t>
  </si>
  <si>
    <t>Repli (ennemi sans pattern)</t>
  </si>
  <si>
    <t>Attaque</t>
  </si>
  <si>
    <t>baseDamage</t>
  </si>
  <si>
    <t>Défense</t>
  </si>
  <si>
    <t>5 à 10 armure, uniforme (1/6 chacun), 7,5 en moyenne</t>
  </si>
  <si>
    <t>Buff</t>
  </si>
  <si>
    <t>+2 Puissance</t>
  </si>
  <si>
    <t>Aucun des quatre ennemis livrés n'utilise le repli : leurs intentions sont prévisibles.</t>
  </si>
  <si>
    <t>C. Calculateur : qui peut sortir, et avec quelle chance au 1er tirage</t>
  </si>
  <si>
    <t>Source : calculateBudget, getEnemyLevel, getHpMultiplier, getDamageMultiplier, calculateCombatRating — mêmes formules que l'onglet « Calculateur de combat » du second classeur</t>
  </si>
  <si>
    <t>Niveau du joueur</t>
  </si>
  <si>
    <t>PV max</t>
  </si>
  <si>
    <t>Puissance permanente</t>
  </si>
  <si>
    <t>Mana max</t>
  </si>
  <si>
    <t>Somme des rangs de fusion du deck</t>
  </si>
  <si>
    <t>Type de nœud (1 normal, 2 élite, 3 boss)</t>
  </si>
  <si>
    <t>Puissance du joueur</t>
  </si>
  <si>
    <t>Puissance attendue</t>
  </si>
  <si>
    <t>Budget de base</t>
  </si>
  <si>
    <t>Modificateur de puissance</t>
  </si>
  <si>
    <t>Multiplicateur de nœud (budget)</t>
  </si>
  <si>
    <t>Budget final</t>
  </si>
  <si>
    <t>Niveau des ennemis</t>
  </si>
  <si>
    <t>Facteur d'acte PV</t>
  </si>
  <si>
    <t>Facteur d'acte dégâts</t>
  </si>
  <si>
    <t>Multiplicateur PV</t>
  </si>
  <si>
    <t>Multiplicateur dégâts</t>
  </si>
  <si>
    <t>Tier débloqué</t>
  </si>
  <si>
    <t>Ennemis max</t>
  </si>
  <si>
    <t>Tier</t>
  </si>
  <si>
    <t>PV base</t>
  </si>
  <si>
    <t>Dégâts base</t>
  </si>
  <si>
    <t>Crit</t>
  </si>
  <si>
    <t>PV scalés</t>
  </si>
  <si>
    <t>Dégâts scalés</t>
  </si>
  <si>
    <t>Note de menace</t>
  </si>
  <si>
    <t>Éligible (tier) ?</t>
  </si>
  <si>
    <t>Tient dans le budget ?</t>
  </si>
  <si>
    <t>Candidats au 1er tirage</t>
  </si>
  <si>
    <t>Si aucun candidat ne tient : l'ennemi de plus petite note est pris d'office (repli). Si le pool filtré par tier est vide, le pool complet sert.</t>
  </si>
  <si>
    <t>P(1er ennemi)</t>
  </si>
  <si>
    <t>Budget restant après lui</t>
  </si>
  <si>
    <t>Candidats pour un 2e (si max ≥ 2)</t>
  </si>
  <si>
    <t>P(2e = Slime | 1er)</t>
  </si>
  <si>
    <t>P(2e = Gobelin | 1er)</t>
  </si>
  <si>
    <t>P(2e = Squelette | 1er)</t>
  </si>
  <si>
    <t>P(2e = Orc | 1er)</t>
  </si>
  <si>
    <t>Acte 1, niveau 1, Paladin de départ : budget 40, Slime (27,9) et Gobelin (33) tiennent tous deux → 50 / 50, un seul ennemi (max normal = 1).</t>
  </si>
  <si>
    <t>Événements narratifs</t>
  </si>
  <si>
    <t>EventController.initializeEvent : events[nextInt(events.length)] — uniforme</t>
  </si>
  <si>
    <t>A. Les événements et leur chance par nœud Événement</t>
  </si>
  <si>
    <t>Événements livrés</t>
  </si>
  <si>
    <t>assets/data/events/*.json</t>
  </si>
  <si>
    <t>P(ce nœud)</t>
  </si>
  <si>
    <t>Choix</t>
  </si>
  <si>
    <t>Actions (value) et conditions</t>
  </si>
  <si>
    <t>Le Feu de Camp Abandonné</t>
  </si>
  <si>
    <t>abandoned_camp</t>
  </si>
  <si>
    <t>Fouiller les sacs restants (-10 PV, +1 Relique)</t>
  </si>
  <si>
    <t>take_damage 10, gain_relic 1</t>
  </si>
  <si>
    <t>Se reposer près du feu (+15 PV)</t>
  </si>
  <si>
    <t>heal 15</t>
  </si>
  <si>
    <t>Consommer les provisions abandonnées (-25 Or, +30 PV)</t>
  </si>
  <si>
    <t>spend_gold 25, heal 30</t>
  </si>
  <si>
    <t>La Fontaine Bénie</t>
  </si>
  <si>
    <t>blessed_fountain</t>
  </si>
  <si>
    <t>Boire l'eau bénie (+25 PV)</t>
  </si>
  <si>
    <t>heal 25</t>
  </si>
  <si>
    <t>Purifier son esprit (-12 PV Max, +1 Puissance)</t>
  </si>
  <si>
    <t>gain_max_hp -12, gain_might 1</t>
  </si>
  <si>
    <t>Jeter une pièce dans la fontaine (-20 Or, +8 PV Max)</t>
  </si>
  <si>
    <t>spend_gold 20, gain_max_hp 8</t>
  </si>
  <si>
    <t>Le Tombeau Oublié</t>
  </si>
  <si>
    <t>forgotten_tomb</t>
  </si>
  <si>
    <t>Piller le sarcophage (+100 Or, -18 PV)</t>
  </si>
  <si>
    <t>gain_gold 100, take_damage 18</t>
  </si>
  <si>
    <t>Inspecter les gravures murales (+10 PV Max)</t>
  </si>
  <si>
    <t>gain_max_hp 10</t>
  </si>
  <si>
    <t>Respecter le repos des morts (+15 Or)</t>
  </si>
  <si>
    <t>gain_gold 15</t>
  </si>
  <si>
    <t>Le Marchand Fugitif</t>
  </si>
  <si>
    <t>goblin_merchant</t>
  </si>
  <si>
    <t>Acheter une relique mystérieuse (-40 Or, +1 Relique)</t>
  </si>
  <si>
    <t>spend_gold 40, gain_relic 1</t>
  </si>
  <si>
    <t>Voler le gobelin (+50 Or, -12 PV)</t>
  </si>
  <si>
    <t>gain_gold 50, take_damage 12</t>
  </si>
  <si>
    <t>L'aider à se cacher (-15 PV, +1 Relique)</t>
  </si>
  <si>
    <t>take_damage 15, gain_relic 1</t>
  </si>
  <si>
    <t>L'Autel Mystérieux</t>
  </si>
  <si>
    <t>mysterious_altar</t>
  </si>
  <si>
    <t>Sacrifier votre sang (-15 PV, +1 Puissance)</t>
  </si>
  <si>
    <t>take_damage 15, gain_might 1</t>
  </si>
  <si>
    <t>Faire une offrande d'or (-50 Or, +10 PV Max)</t>
  </si>
  <si>
    <t>spend_gold 50, gain_max_hp 10</t>
  </si>
  <si>
    <t>Prier et partir (Rien)</t>
  </si>
  <si>
    <t>rien</t>
  </si>
  <si>
    <t>Le Colporteur</t>
  </si>
  <si>
    <t>relic_peddler</t>
  </si>
  <si>
    <t>Vendre votre relique la plus faible (+40 à +200 Or selon sa rareté)</t>
  </si>
  <si>
    <t>trade_relic 40</t>
  </si>
  <si>
    <t>L'échanger contre des remèdes (+20 % des PV max, si vos PV sont sous la moitié)</t>
  </si>
  <si>
    <t>trade_relic 0, heal_percent 20 [PV &lt; 50 % des PV max]</t>
  </si>
  <si>
    <t>Passer votre chemin (Rien)</t>
  </si>
  <si>
    <t>Le Rémouleur</t>
  </si>
  <si>
    <t>wandering_grinder</t>
  </si>
  <si>
    <t>Lui confier une rune (-10 % des PV max, +1 niveau de rune)</t>
  </si>
  <si>
    <t>lose_hp_percent 10, sharpen_rune 1</t>
  </si>
  <si>
    <t>Conditions implicites (EventChoice.isSelectable) : take_damage et lose_hp_percent exigent PV &gt; coût ; spend_gold exige l'or ; gain_max_hp négatif exige PV max &gt; perte ; trade_relic exige une relique ; sharpen_rune exige une rune affûtable.</t>
  </si>
  <si>
    <t>B. Chances cumulées</t>
  </si>
  <si>
    <t>Visites de nœuds Événement (n)</t>
  </si>
  <si>
    <t>P(un événement précis au moins 1 fois)</t>
  </si>
  <si>
    <t>P(jamais le même deux fois)</t>
  </si>
  <si>
    <t>P(une relique proposée au moins 1 fois)</t>
  </si>
  <si>
    <t>« Relique proposée » : Marchand fugitif ou Feu de camp abandonné (2 événements sur 7 portent gain_relic).</t>
  </si>
  <si>
    <t>C. Combien de nœuds Événement par acte ?</t>
  </si>
  <si>
    <t>Quota de la carte</t>
  </si>
  <si>
    <t>4 à 9 nœuds Événement par acte (GameConstants.nodeQuotas)</t>
  </si>
  <si>
    <t>Sur un chemin de 10 nœuds</t>
  </si>
  <si>
    <t>typiquement 1 à 2 visites par acte, au choix du joueur</t>
  </si>
  <si>
    <t>Pioche et main d'ouverture</t>
  </si>
  <si>
    <t>DeckNotifier.startCombat / drawCards (lib/game/controllers/deck_controller.dart) : mélange uniforme, remélange à sec, arrêt net à la main max</t>
  </si>
  <si>
    <t>A. Paramètres</t>
  </si>
  <si>
    <t>Cartes piochées par tour (cardsPerTurn)</t>
  </si>
  <si>
    <t>+1 par Besace de l'Érudit</t>
  </si>
  <si>
    <t>Main maximale</t>
  </si>
  <si>
    <t>GameConstants.startingMaxHandSize</t>
  </si>
  <si>
    <t>Taille du deck N</t>
  </si>
  <si>
    <t>7 au départ : 2 cartes de classe + 5 choisies</t>
  </si>
  <si>
    <t>Copies d'une carte donnée k</t>
  </si>
  <si>
    <t>B. P(au moins une des k copies dans la main d'ouverture), loi hypergéométrique</t>
  </si>
  <si>
    <t>N (deck)</t>
  </si>
  <si>
    <t>k = 1</t>
  </si>
  <si>
    <t>k = 2</t>
  </si>
  <si>
    <t>k = 3</t>
  </si>
  <si>
    <t>k = 4</t>
  </si>
  <si>
    <t>Tours avant remélange</t>
  </si>
  <si>
    <t>Avec Besace (6/tour)</t>
  </si>
  <si>
    <t>C. P(avoir vu au moins une des k copies au tour t) — deck N et k du scénario</t>
  </si>
  <si>
    <t>Sans remélange avant le tour t (t × cartes par tour ≤ N) ; au-delà, la défausse est remélangée et la carte a forcément été vue.</t>
  </si>
  <si>
    <t>Tour t</t>
  </si>
  <si>
    <t>Cartes vues</t>
  </si>
  <si>
    <t>P(vue)</t>
  </si>
  <si>
    <t>D. Calculateur hypergéométrique général</t>
  </si>
  <si>
    <t>Deck N</t>
  </si>
  <si>
    <t>Cartes « réussite » dans le deck K (ex. attaques)</t>
  </si>
  <si>
    <t>Cartes piochées n</t>
  </si>
  <si>
    <t>Au moins x réussites</t>
  </si>
  <si>
    <t>P(X ≥ x)</t>
  </si>
  <si>
    <t>P(X = x)</t>
  </si>
  <si>
    <t>Espérance de réussites en main</t>
  </si>
  <si>
    <t>E. Arrêt net</t>
  </si>
  <si>
    <t>Une pioche s'arrête dès que la main atteint 10 cartes, sans consommer de carte ni remélanger. Une carte « Piocher 2 » sur une pioche d'une carte tire cette carte, remélange la défausse, puis tire la suivante.</t>
  </si>
  <si>
    <t>Récompenses de boss et clonages</t>
  </si>
  <si>
    <t>RewardController.handleVictory (boss), DraftScreen (Miroir mythique), ShopScreen (Miroir magique), BossCardDraftScreen</t>
  </si>
  <si>
    <t>A. Les trois boss (choix du joueur, pas de tirage sur la position)</t>
  </si>
  <si>
    <t>Position</t>
  </si>
  <si>
    <t>Tirage</t>
  </si>
  <si>
    <t>Détail</t>
  </si>
  <si>
    <t>x = 0 (gauche)</t>
  </si>
  <si>
    <t>Cartes</t>
  </si>
  <si>
    <t>5 cartes copiables du deck tirées au hasard (sans remise) ; le joueur en clone 2, runes comprises</t>
  </si>
  <si>
    <t>x = 1 (centre)</t>
  </si>
  <si>
    <t>XP triple</t>
  </si>
  <si>
    <t>or et XP × 3 ; puis 1 rune du deck montée d'un niveau (+1 par Meule), paire (carte, rune) uniforme parmi celles sous leur plafond</t>
  </si>
  <si>
    <t>x = 2 (droite)</t>
  </si>
  <si>
    <t>Relique améliorée</t>
  </si>
  <si>
    <t>onglet Reliques §C</t>
  </si>
  <si>
    <t>B. P(une carte précise du deck est proposée)</t>
  </si>
  <si>
    <t>Boss « Cartes » : parmi les 5 tirées</t>
  </si>
  <si>
    <t>Miroir (mythique de niveau) : parmi les 3</t>
  </si>
  <si>
    <t>DraftScreen l.614 : shuffle puis take(3), le joueur en clone 1 (runes comprises)</t>
  </si>
  <si>
    <t>Miroir magique (boutique) : parmi les 3</t>
  </si>
  <si>
    <t>mêmes 3 options tant que le nœud ne change pas</t>
  </si>
  <si>
    <t>Copie du deck en boutique</t>
  </si>
  <si>
    <t>1 carte, tirée, même rareté sans rune</t>
  </si>
  <si>
    <t>C. Boss « XP » : la rune montée</t>
  </si>
  <si>
    <t>Paires (carte, rune) affûtables du deck</t>
  </si>
  <si>
    <t>Meules portées</t>
  </si>
  <si>
    <t>Tirages</t>
  </si>
  <si>
    <t>GameConstants.bossXpRuneSharpens = 1</t>
  </si>
  <si>
    <t>P(une paire précise au 1er tirage)</t>
  </si>
  <si>
    <t>P(une paire précise montée au moins une fois)</t>
  </si>
  <si>
    <t>approximation : chaque tirage voit le précédent, une rune arrivée au plafond sort du pool</t>
  </si>
  <si>
    <t>Sans paire affûtable (début de run), rien ne monte : « Aucune rune de votre deck ne peut gagner de niveau. »</t>
  </si>
  <si>
    <t>Tout ce que la Chance modifie</t>
  </si>
  <si>
    <t>Liens (vert) vers les onglets de calcul. Sources de Chance : Trèfle à 4 feuilles (mythique, +1), Trèfle Enchanté (relique épique, +1), Dé de Fortune (relique légendaire, +2), classes à 0.</t>
  </si>
  <si>
    <t>Niveau : Lég.</t>
  </si>
  <si>
    <t>Niveau : Épique</t>
  </si>
  <si>
    <t>Niveau : Rare</t>
  </si>
  <si>
    <t>Niveau : Peu c.</t>
  </si>
  <si>
    <t>Niveau : Commune</t>
  </si>
  <si>
    <t>Mythique (par jet)</t>
  </si>
  <si>
    <t>Relique élite/évt : Lég.</t>
  </si>
  <si>
    <t>Peu c.</t>
  </si>
  <si>
    <t>Boss relique acte 5 : Lég.</t>
  </si>
  <si>
    <t>Le boss « relique améliorée » dépend aussi de l'acte : onglet Reliques §C avec la cellule jaune « Chance du scénario 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</si>
</sst>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&quot; or&quot;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i/>
      <sz val="9"/>
      <color rgb="FFC00000"/>
      <name val="Arial"/>
    </font>
    <font>
      <b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2" fontId="6" fillId="0" borderId="1" xfId="0" applyNumberFormat="1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1" fontId="6" fillId="0" borderId="1" xfId="0" applyNumberFormat="1" applyFont="1" applyBorder="1"/>
    <xf numFmtId="2" fontId="4" fillId="0" borderId="1" xfId="0" applyNumberFormat="1" applyFont="1" applyBorder="1"/>
    <xf numFmtId="2" fontId="5" fillId="0" borderId="1" xfId="0" applyNumberFormat="1" applyFont="1" applyBorder="1"/>
    <xf numFmtId="0" fontId="2" fillId="0" borderId="1" xfId="0" applyFont="1" applyBorder="1"/>
    <xf numFmtId="164" fontId="7" fillId="0" borderId="1" xfId="0" applyNumberFormat="1" applyFont="1" applyBorder="1"/>
    <xf numFmtId="164" fontId="6" fillId="0" borderId="1" xfId="0" applyNumberFormat="1" applyFont="1" applyBorder="1"/>
    <xf numFmtId="10" fontId="5" fillId="0" borderId="1" xfId="0" applyNumberFormat="1" applyFont="1" applyBorder="1"/>
    <xf numFmtId="0" fontId="6" fillId="0" borderId="1" xfId="0" applyFont="1" applyBorder="1"/>
    <xf numFmtId="1" fontId="4" fillId="0" borderId="1" xfId="0" applyNumberFormat="1" applyFont="1" applyBorder="1"/>
    <xf numFmtId="0" fontId="8" fillId="0" borderId="0" xfId="0" applyFont="1"/>
    <xf numFmtId="1" fontId="9" fillId="4" borderId="1" xfId="0" applyNumberFormat="1" applyFont="1" applyFill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5" fontId="6" fillId="0" borderId="1" xfId="0" applyNumberFormat="1" applyFont="1" applyBorder="1"/>
    <xf numFmtId="165" fontId="4" fillId="0" borderId="1" xfId="0" applyNumberFormat="1" applyFont="1" applyBorder="1"/>
    <xf numFmtId="2" fontId="6" fillId="0" borderId="0" xfId="0" applyNumberFormat="1" applyFont="1"/>
    <xf numFmtId="10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tabSelected="1" workbookViewId="0"/>
  </sheetViews>
  <sheetFormatPr baseColWidth="10" defaultColWidth="9.06640625" defaultRowHeight="14.25" x14ac:dyDescent="0.45"/>
  <cols>
    <col min="1" max="1" width="34" customWidth="1"/>
    <col min="2" max="2" width="90" customWidth="1"/>
  </cols>
  <sheetData>
    <row r="1" spans="1:2" ht="17.649999999999999" x14ac:dyDescent="0.5">
      <c r="A1" s="1" t="s">
        <v>0</v>
      </c>
    </row>
    <row r="2" spans="1:2" x14ac:dyDescent="0.45">
      <c r="A2" s="2" t="s">
        <v>1</v>
      </c>
    </row>
    <row r="4" spans="1:2" x14ac:dyDescent="0.45">
      <c r="A4" s="3" t="s">
        <v>2</v>
      </c>
      <c r="B4" s="3"/>
    </row>
    <row r="5" spans="1:2" x14ac:dyDescent="0.45">
      <c r="A5" s="4" t="s">
        <v>3</v>
      </c>
      <c r="B5" s="5" t="s">
        <v>4</v>
      </c>
    </row>
    <row r="6" spans="1:2" x14ac:dyDescent="0.45">
      <c r="A6" s="4" t="s">
        <v>5</v>
      </c>
      <c r="B6" s="5" t="s">
        <v>6</v>
      </c>
    </row>
    <row r="7" spans="1:2" x14ac:dyDescent="0.45">
      <c r="A7" s="4" t="s">
        <v>7</v>
      </c>
      <c r="B7" s="5" t="s">
        <v>8</v>
      </c>
    </row>
    <row r="8" spans="1:2" x14ac:dyDescent="0.45">
      <c r="A8" s="4" t="s">
        <v>9</v>
      </c>
      <c r="B8" s="5" t="s">
        <v>10</v>
      </c>
    </row>
    <row r="9" spans="1:2" x14ac:dyDescent="0.45">
      <c r="A9" s="4" t="s">
        <v>11</v>
      </c>
      <c r="B9" s="5" t="s">
        <v>12</v>
      </c>
    </row>
    <row r="10" spans="1:2" x14ac:dyDescent="0.45">
      <c r="A10" s="4" t="s">
        <v>13</v>
      </c>
      <c r="B10" s="5" t="s">
        <v>14</v>
      </c>
    </row>
    <row r="11" spans="1:2" x14ac:dyDescent="0.45">
      <c r="A11" s="4" t="s">
        <v>15</v>
      </c>
      <c r="B11" s="5" t="s">
        <v>16</v>
      </c>
    </row>
    <row r="13" spans="1:2" x14ac:dyDescent="0.45">
      <c r="A13" s="3" t="s">
        <v>17</v>
      </c>
      <c r="B13" s="3"/>
    </row>
    <row r="14" spans="1:2" x14ac:dyDescent="0.45">
      <c r="A14" s="6" t="s">
        <v>18</v>
      </c>
      <c r="B14" s="6" t="s">
        <v>19</v>
      </c>
    </row>
    <row r="15" spans="1:2" x14ac:dyDescent="0.45">
      <c r="A15" s="7" t="s">
        <v>20</v>
      </c>
      <c r="B15" s="8" t="s">
        <v>21</v>
      </c>
    </row>
    <row r="16" spans="1:2" x14ac:dyDescent="0.45">
      <c r="A16" s="7" t="s">
        <v>22</v>
      </c>
      <c r="B16" s="8" t="s">
        <v>23</v>
      </c>
    </row>
    <row r="17" spans="1:2" x14ac:dyDescent="0.45">
      <c r="A17" s="7" t="s">
        <v>24</v>
      </c>
      <c r="B17" s="8" t="s">
        <v>25</v>
      </c>
    </row>
    <row r="18" spans="1:2" x14ac:dyDescent="0.45">
      <c r="A18" s="7" t="s">
        <v>26</v>
      </c>
      <c r="B18" s="8" t="s">
        <v>27</v>
      </c>
    </row>
    <row r="19" spans="1:2" x14ac:dyDescent="0.45">
      <c r="A19" s="7" t="s">
        <v>28</v>
      </c>
      <c r="B19" s="8" t="s">
        <v>29</v>
      </c>
    </row>
    <row r="20" spans="1:2" x14ac:dyDescent="0.45">
      <c r="A20" s="7" t="s">
        <v>30</v>
      </c>
      <c r="B20" s="8" t="s">
        <v>31</v>
      </c>
    </row>
    <row r="21" spans="1:2" x14ac:dyDescent="0.45">
      <c r="A21" s="7" t="s">
        <v>32</v>
      </c>
      <c r="B21" s="8" t="s">
        <v>33</v>
      </c>
    </row>
    <row r="22" spans="1:2" x14ac:dyDescent="0.45">
      <c r="A22" s="7" t="s">
        <v>34</v>
      </c>
      <c r="B22" s="8" t="s">
        <v>35</v>
      </c>
    </row>
    <row r="23" spans="1:2" x14ac:dyDescent="0.45">
      <c r="A23" s="7" t="s">
        <v>36</v>
      </c>
      <c r="B23" s="8" t="s">
        <v>37</v>
      </c>
    </row>
    <row r="24" spans="1:2" x14ac:dyDescent="0.45">
      <c r="A24" s="7" t="s">
        <v>38</v>
      </c>
      <c r="B24" s="8" t="s">
        <v>39</v>
      </c>
    </row>
    <row r="25" spans="1:2" x14ac:dyDescent="0.45">
      <c r="A25" s="7" t="s">
        <v>40</v>
      </c>
      <c r="B25" s="8" t="s">
        <v>41</v>
      </c>
    </row>
    <row r="26" spans="1:2" x14ac:dyDescent="0.45">
      <c r="A26" s="7" t="s">
        <v>42</v>
      </c>
      <c r="B26" s="8" t="s">
        <v>43</v>
      </c>
    </row>
    <row r="28" spans="1:2" x14ac:dyDescent="0.45">
      <c r="A28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2"/>
  <sheetViews>
    <sheetView showGridLines="0" workbookViewId="0"/>
  </sheetViews>
  <sheetFormatPr baseColWidth="10" defaultColWidth="9.06640625" defaultRowHeight="14.25" x14ac:dyDescent="0.45"/>
  <cols>
    <col min="1" max="1" width="30" customWidth="1"/>
    <col min="2" max="8" width="14" customWidth="1"/>
    <col min="9" max="9" width="40" customWidth="1"/>
  </cols>
  <sheetData>
    <row r="1" spans="1:9" ht="17.649999999999999" x14ac:dyDescent="0.5">
      <c r="A1" s="1" t="s">
        <v>45</v>
      </c>
    </row>
    <row r="2" spans="1:9" x14ac:dyDescent="0.45">
      <c r="A2" s="2" t="s">
        <v>46</v>
      </c>
    </row>
    <row r="4" spans="1:9" x14ac:dyDescent="0.45">
      <c r="A4" s="3" t="s">
        <v>47</v>
      </c>
      <c r="B4" s="3"/>
      <c r="C4" s="3"/>
      <c r="D4" s="3"/>
      <c r="E4" s="3"/>
      <c r="F4" s="3"/>
      <c r="G4" s="3"/>
      <c r="H4" s="3"/>
      <c r="I4" s="3"/>
    </row>
    <row r="5" spans="1:9" x14ac:dyDescent="0.45">
      <c r="A5" s="2" t="s">
        <v>48</v>
      </c>
    </row>
    <row r="6" spans="1:9" x14ac:dyDescent="0.45">
      <c r="A6" s="6" t="s">
        <v>49</v>
      </c>
      <c r="B6" s="6" t="s">
        <v>50</v>
      </c>
      <c r="C6" s="6" t="s">
        <v>51</v>
      </c>
      <c r="D6" s="6"/>
      <c r="E6" s="6"/>
      <c r="F6" s="6"/>
      <c r="G6" s="6"/>
      <c r="H6" s="6"/>
      <c r="I6" s="6" t="s">
        <v>52</v>
      </c>
    </row>
    <row r="7" spans="1:9" x14ac:dyDescent="0.45">
      <c r="A7" s="8" t="s">
        <v>53</v>
      </c>
      <c r="B7" s="9">
        <v>0.6</v>
      </c>
      <c r="C7" s="10">
        <f>B7</f>
        <v>0.6</v>
      </c>
      <c r="I7" s="2" t="s">
        <v>54</v>
      </c>
    </row>
    <row r="8" spans="1:9" x14ac:dyDescent="0.45">
      <c r="A8" s="8" t="s">
        <v>55</v>
      </c>
      <c r="B8" s="9">
        <v>0.75</v>
      </c>
      <c r="C8" s="10">
        <f>B8-B7</f>
        <v>0.15000000000000002</v>
      </c>
    </row>
    <row r="9" spans="1:9" x14ac:dyDescent="0.45">
      <c r="A9" s="8" t="s">
        <v>28</v>
      </c>
      <c r="B9" s="9">
        <v>0.85</v>
      </c>
      <c r="C9" s="10">
        <f>B9-B8</f>
        <v>9.9999999999999978E-2</v>
      </c>
    </row>
    <row r="10" spans="1:9" x14ac:dyDescent="0.45">
      <c r="A10" s="8" t="s">
        <v>56</v>
      </c>
      <c r="B10" s="9">
        <v>0.95</v>
      </c>
      <c r="C10" s="10">
        <f>B10-B9</f>
        <v>9.9999999999999978E-2</v>
      </c>
    </row>
    <row r="11" spans="1:9" x14ac:dyDescent="0.45">
      <c r="A11" s="8" t="s">
        <v>57</v>
      </c>
      <c r="B11" s="9">
        <v>1</v>
      </c>
      <c r="C11" s="10">
        <f>B11-B10</f>
        <v>5.0000000000000044E-2</v>
      </c>
    </row>
    <row r="12" spans="1:9" x14ac:dyDescent="0.45">
      <c r="A12" s="7" t="s">
        <v>58</v>
      </c>
      <c r="B12" s="8"/>
      <c r="C12" s="11">
        <f>SUM(C7:C11)</f>
        <v>1</v>
      </c>
    </row>
    <row r="14" spans="1:9" x14ac:dyDescent="0.45">
      <c r="A14" s="3" t="s">
        <v>59</v>
      </c>
      <c r="B14" s="3"/>
      <c r="C14" s="3"/>
      <c r="D14" s="3"/>
      <c r="E14" s="3"/>
      <c r="F14" s="3"/>
      <c r="G14" s="3"/>
      <c r="H14" s="3"/>
      <c r="I14" s="3"/>
    </row>
    <row r="15" spans="1:9" x14ac:dyDescent="0.45">
      <c r="A15" s="2" t="s">
        <v>60</v>
      </c>
    </row>
    <row r="16" spans="1:9" x14ac:dyDescent="0.45">
      <c r="A16" s="5" t="s">
        <v>61</v>
      </c>
      <c r="B16" s="12">
        <v>5</v>
      </c>
    </row>
    <row r="17" spans="1:9" x14ac:dyDescent="0.45">
      <c r="A17" s="6" t="s">
        <v>62</v>
      </c>
      <c r="B17" s="6" t="s">
        <v>51</v>
      </c>
    </row>
    <row r="18" spans="1:9" x14ac:dyDescent="0.45">
      <c r="A18" s="12">
        <v>2</v>
      </c>
      <c r="B18" s="10">
        <f>IF(2&lt;=$B$16,1/($B$16-1),0)</f>
        <v>0.25</v>
      </c>
    </row>
    <row r="19" spans="1:9" x14ac:dyDescent="0.45">
      <c r="A19" s="12">
        <v>3</v>
      </c>
      <c r="B19" s="10">
        <f>IF(3&lt;=$B$16,1/($B$16-1),0)</f>
        <v>0.25</v>
      </c>
    </row>
    <row r="20" spans="1:9" x14ac:dyDescent="0.45">
      <c r="A20" s="12">
        <v>4</v>
      </c>
      <c r="B20" s="10">
        <f>IF(4&lt;=$B$16,1/($B$16-1),0)</f>
        <v>0.25</v>
      </c>
    </row>
    <row r="21" spans="1:9" x14ac:dyDescent="0.45">
      <c r="A21" s="12">
        <v>5</v>
      </c>
      <c r="B21" s="10">
        <f>IF(5&lt;=$B$16,1/($B$16-1),0)</f>
        <v>0.25</v>
      </c>
    </row>
    <row r="22" spans="1:9" x14ac:dyDescent="0.45">
      <c r="A22" s="7" t="s">
        <v>63</v>
      </c>
      <c r="B22" s="13">
        <f>SUMPRODUCT(A18:A21,B18:B21)</f>
        <v>3.5</v>
      </c>
    </row>
    <row r="24" spans="1:9" x14ac:dyDescent="0.45">
      <c r="A24" s="3" t="s">
        <v>64</v>
      </c>
      <c r="B24" s="3"/>
      <c r="C24" s="3"/>
      <c r="D24" s="3"/>
      <c r="E24" s="3"/>
      <c r="F24" s="3"/>
      <c r="G24" s="3"/>
      <c r="H24" s="3"/>
      <c r="I24" s="3"/>
    </row>
    <row r="25" spans="1:9" x14ac:dyDescent="0.45">
      <c r="A25" s="2" t="s">
        <v>65</v>
      </c>
    </row>
    <row r="26" spans="1:9" x14ac:dyDescent="0.45">
      <c r="A26" s="6" t="s">
        <v>66</v>
      </c>
      <c r="B26" s="6" t="s">
        <v>62</v>
      </c>
      <c r="C26" s="6" t="s">
        <v>67</v>
      </c>
      <c r="D26" s="6" t="s">
        <v>68</v>
      </c>
    </row>
    <row r="27" spans="1:9" x14ac:dyDescent="0.45">
      <c r="A27" s="8">
        <v>0</v>
      </c>
      <c r="B27" s="8" t="s">
        <v>69</v>
      </c>
      <c r="C27" s="8" t="s">
        <v>70</v>
      </c>
      <c r="D27" s="8"/>
    </row>
    <row r="28" spans="1:9" x14ac:dyDescent="0.45">
      <c r="A28" s="8" t="s">
        <v>71</v>
      </c>
      <c r="B28" s="8" t="s">
        <v>69</v>
      </c>
      <c r="C28" s="8" t="s">
        <v>72</v>
      </c>
      <c r="D28" s="8"/>
    </row>
    <row r="29" spans="1:9" x14ac:dyDescent="0.45">
      <c r="A29" s="8">
        <v>5</v>
      </c>
      <c r="B29" s="8">
        <v>1</v>
      </c>
      <c r="C29" s="8" t="s">
        <v>73</v>
      </c>
      <c r="D29" s="8"/>
    </row>
    <row r="30" spans="1:9" x14ac:dyDescent="0.45">
      <c r="A30" s="8">
        <v>8</v>
      </c>
      <c r="B30" s="8" t="s">
        <v>69</v>
      </c>
      <c r="C30" s="8" t="s">
        <v>56</v>
      </c>
      <c r="D30" s="8"/>
    </row>
    <row r="31" spans="1:9" x14ac:dyDescent="0.45">
      <c r="A31" s="8">
        <v>9</v>
      </c>
      <c r="B31" s="8">
        <v>3</v>
      </c>
      <c r="C31" s="8" t="s">
        <v>74</v>
      </c>
      <c r="D31" s="8" t="s">
        <v>75</v>
      </c>
    </row>
    <row r="33" spans="1:9" x14ac:dyDescent="0.45">
      <c r="A33" s="3" t="s">
        <v>76</v>
      </c>
      <c r="B33" s="3"/>
      <c r="C33" s="3"/>
      <c r="D33" s="3"/>
      <c r="E33" s="3"/>
      <c r="F33" s="3"/>
      <c r="G33" s="3"/>
      <c r="H33" s="3"/>
      <c r="I33" s="3"/>
    </row>
    <row r="34" spans="1:9" x14ac:dyDescent="0.45">
      <c r="A34" s="2" t="s">
        <v>77</v>
      </c>
    </row>
    <row r="35" spans="1:9" x14ac:dyDescent="0.45">
      <c r="A35" s="5" t="s">
        <v>78</v>
      </c>
      <c r="B35" s="12">
        <v>6</v>
      </c>
      <c r="C35" s="2" t="s">
        <v>79</v>
      </c>
    </row>
    <row r="36" spans="1:9" x14ac:dyDescent="0.45">
      <c r="A36" s="5" t="s">
        <v>80</v>
      </c>
      <c r="B36" s="9">
        <f>$B$35*$B$22</f>
        <v>21</v>
      </c>
      <c r="C36" s="2" t="s">
        <v>81</v>
      </c>
    </row>
    <row r="37" spans="1:9" x14ac:dyDescent="0.45">
      <c r="A37" s="6" t="s">
        <v>49</v>
      </c>
      <c r="B37" s="6" t="s">
        <v>82</v>
      </c>
      <c r="C37" s="6" t="s">
        <v>83</v>
      </c>
      <c r="D37" s="6" t="s">
        <v>84</v>
      </c>
      <c r="E37" s="6" t="s">
        <v>85</v>
      </c>
      <c r="F37" s="6"/>
      <c r="G37" s="6"/>
      <c r="H37" s="6"/>
      <c r="I37" s="6" t="s">
        <v>86</v>
      </c>
    </row>
    <row r="38" spans="1:9" x14ac:dyDescent="0.45">
      <c r="A38" s="8" t="s">
        <v>53</v>
      </c>
      <c r="B38" s="14">
        <f>$B$36*$C$7+$B$22</f>
        <v>16.100000000000001</v>
      </c>
      <c r="C38" s="12">
        <v>12</v>
      </c>
      <c r="D38" s="12">
        <v>22</v>
      </c>
      <c r="E38" s="8" t="str">
        <f t="shared" ref="E38:E43" si="0">IF(B38&lt;C38,"oui","non")</f>
        <v>non</v>
      </c>
      <c r="F38" s="8"/>
      <c r="G38" s="8"/>
      <c r="H38" s="8"/>
      <c r="I38" s="15" t="s">
        <v>87</v>
      </c>
    </row>
    <row r="39" spans="1:9" x14ac:dyDescent="0.45">
      <c r="A39" s="8" t="s">
        <v>57</v>
      </c>
      <c r="B39" s="14">
        <f>$B$36*$C$11+1</f>
        <v>2.0500000000000007</v>
      </c>
      <c r="C39" s="12">
        <v>3</v>
      </c>
      <c r="D39" s="12">
        <v>6</v>
      </c>
      <c r="E39" s="8" t="str">
        <f t="shared" si="0"/>
        <v>oui</v>
      </c>
      <c r="F39" s="8"/>
      <c r="G39" s="8"/>
      <c r="H39" s="8"/>
      <c r="I39" s="15" t="s">
        <v>88</v>
      </c>
    </row>
    <row r="40" spans="1:9" x14ac:dyDescent="0.45">
      <c r="A40" s="8" t="s">
        <v>56</v>
      </c>
      <c r="B40" s="14">
        <f>$B$36*$C$10+$B$22</f>
        <v>5.6</v>
      </c>
      <c r="C40" s="12">
        <v>3</v>
      </c>
      <c r="D40" s="12">
        <v>6</v>
      </c>
      <c r="E40" s="8" t="str">
        <f t="shared" si="0"/>
        <v>non</v>
      </c>
      <c r="F40" s="8"/>
      <c r="G40" s="8"/>
      <c r="H40" s="8"/>
      <c r="I40" s="15" t="s">
        <v>89</v>
      </c>
    </row>
    <row r="41" spans="1:9" x14ac:dyDescent="0.45">
      <c r="A41" s="8" t="s">
        <v>28</v>
      </c>
      <c r="B41" s="14">
        <f>$B$36*$C$9</f>
        <v>2.0999999999999996</v>
      </c>
      <c r="C41" s="12">
        <v>2</v>
      </c>
      <c r="D41" s="12">
        <v>5</v>
      </c>
      <c r="E41" s="8" t="str">
        <f t="shared" si="0"/>
        <v>non</v>
      </c>
      <c r="F41" s="8"/>
      <c r="G41" s="8"/>
      <c r="H41" s="8"/>
      <c r="I41" s="15"/>
    </row>
    <row r="42" spans="1:9" x14ac:dyDescent="0.45">
      <c r="A42" s="8" t="s">
        <v>55</v>
      </c>
      <c r="B42" s="14">
        <f>$B$36*$C$8</f>
        <v>3.1500000000000004</v>
      </c>
      <c r="C42" s="12">
        <v>4</v>
      </c>
      <c r="D42" s="12">
        <v>9</v>
      </c>
      <c r="E42" s="8" t="str">
        <f t="shared" si="0"/>
        <v>oui</v>
      </c>
      <c r="F42" s="8"/>
      <c r="G42" s="8"/>
      <c r="H42" s="8"/>
      <c r="I42" s="15" t="s">
        <v>90</v>
      </c>
    </row>
    <row r="43" spans="1:9" x14ac:dyDescent="0.45">
      <c r="A43" s="8" t="s">
        <v>74</v>
      </c>
      <c r="B43" s="14">
        <v>3</v>
      </c>
      <c r="C43" s="12">
        <v>3</v>
      </c>
      <c r="D43" s="12">
        <v>3</v>
      </c>
      <c r="E43" s="8" t="str">
        <f t="shared" si="0"/>
        <v>non</v>
      </c>
      <c r="F43" s="8"/>
      <c r="G43" s="8"/>
      <c r="H43" s="8"/>
      <c r="I43" s="15"/>
    </row>
    <row r="44" spans="1:9" x14ac:dyDescent="0.45">
      <c r="A44" s="7" t="s">
        <v>91</v>
      </c>
      <c r="B44" s="13">
        <f>SUM(B38:B43)</f>
        <v>32</v>
      </c>
    </row>
    <row r="46" spans="1:9" x14ac:dyDescent="0.45">
      <c r="A46" s="3" t="s">
        <v>92</v>
      </c>
      <c r="B46" s="3"/>
      <c r="C46" s="3"/>
      <c r="D46" s="3"/>
      <c r="E46" s="3"/>
      <c r="F46" s="3"/>
      <c r="G46" s="3"/>
      <c r="H46" s="3"/>
      <c r="I46" s="3"/>
    </row>
    <row r="47" spans="1:9" x14ac:dyDescent="0.45">
      <c r="A47" s="2" t="s">
        <v>93</v>
      </c>
    </row>
    <row r="48" spans="1:9" x14ac:dyDescent="0.45">
      <c r="A48" s="5" t="s">
        <v>94</v>
      </c>
      <c r="B48" s="12">
        <f>ROUND($B$36,0)</f>
        <v>21</v>
      </c>
    </row>
    <row r="49" spans="1:9" x14ac:dyDescent="0.45">
      <c r="A49" s="6" t="s">
        <v>95</v>
      </c>
      <c r="B49" s="6" t="s">
        <v>96</v>
      </c>
      <c r="C49" s="6" t="s">
        <v>97</v>
      </c>
      <c r="D49" s="6" t="s">
        <v>98</v>
      </c>
    </row>
    <row r="50" spans="1:9" x14ac:dyDescent="0.45">
      <c r="A50" s="8" t="s">
        <v>99</v>
      </c>
      <c r="B50" s="12">
        <v>4</v>
      </c>
      <c r="C50" s="16">
        <f>$C$8</f>
        <v>0.15000000000000002</v>
      </c>
      <c r="D50" s="10">
        <f>1-_xlfn.BINOM.DIST(B50-1,$B$48,C50,TRUE)</f>
        <v>0.3886991602656874</v>
      </c>
    </row>
    <row r="51" spans="1:9" x14ac:dyDescent="0.45">
      <c r="A51" s="8" t="s">
        <v>100</v>
      </c>
      <c r="B51" s="12">
        <v>2</v>
      </c>
      <c r="C51" s="16">
        <f>$C$11</f>
        <v>5.0000000000000044E-2</v>
      </c>
      <c r="D51" s="10">
        <f>1-_xlfn.BINOM.DIST(B51-1,$B$48,C51,TRUE)</f>
        <v>0.28302815518291591</v>
      </c>
    </row>
    <row r="52" spans="1:9" x14ac:dyDescent="0.45">
      <c r="A52" s="8" t="s">
        <v>101</v>
      </c>
      <c r="B52" s="12">
        <v>2</v>
      </c>
      <c r="C52" s="16">
        <f>$C$9</f>
        <v>9.9999999999999978E-2</v>
      </c>
      <c r="D52" s="10">
        <f>1-_xlfn.BINOM.DIST(B52-1,$B$48,C52,TRUE)</f>
        <v>0.63527003622829215</v>
      </c>
    </row>
    <row r="53" spans="1:9" x14ac:dyDescent="0.45">
      <c r="A53" s="8" t="s">
        <v>102</v>
      </c>
      <c r="B53" s="12">
        <v>10</v>
      </c>
      <c r="C53" s="16">
        <f>$C$7</f>
        <v>0.6</v>
      </c>
      <c r="D53" s="10">
        <f>1-_xlfn.BINOM.DIST(B53-1,$B$48,C53,TRUE)</f>
        <v>0.9150756813205615</v>
      </c>
    </row>
    <row r="54" spans="1:9" x14ac:dyDescent="0.45">
      <c r="A54" s="2" t="s">
        <v>103</v>
      </c>
    </row>
    <row r="56" spans="1:9" x14ac:dyDescent="0.45">
      <c r="A56" s="3" t="s">
        <v>104</v>
      </c>
      <c r="B56" s="3"/>
      <c r="C56" s="3"/>
      <c r="D56" s="3"/>
      <c r="E56" s="3"/>
      <c r="F56" s="3"/>
      <c r="G56" s="3"/>
      <c r="H56" s="3"/>
      <c r="I56" s="3"/>
    </row>
    <row r="57" spans="1:9" x14ac:dyDescent="0.45">
      <c r="A57" s="2" t="s">
        <v>105</v>
      </c>
    </row>
    <row r="58" spans="1:9" x14ac:dyDescent="0.45">
      <c r="A58" s="5" t="s">
        <v>106</v>
      </c>
      <c r="B58" s="17">
        <v>0.5</v>
      </c>
    </row>
    <row r="59" spans="1:9" x14ac:dyDescent="0.45">
      <c r="A59" s="5" t="s">
        <v>107</v>
      </c>
      <c r="B59" s="17">
        <v>0.5</v>
      </c>
    </row>
    <row r="60" spans="1:9" x14ac:dyDescent="0.45">
      <c r="A60" s="5" t="s">
        <v>108</v>
      </c>
      <c r="B60" s="17">
        <f>1/3</f>
        <v>0.33333333333333331</v>
      </c>
    </row>
    <row r="61" spans="1:9" x14ac:dyDescent="0.45">
      <c r="A61" s="5" t="s">
        <v>109</v>
      </c>
      <c r="B61" s="17">
        <f>3*$B$60^2</f>
        <v>0.33333333333333331</v>
      </c>
      <c r="C61" s="2" t="s">
        <v>110</v>
      </c>
    </row>
    <row r="62" spans="1:9" x14ac:dyDescent="0.45">
      <c r="A62" s="5" t="s">
        <v>111</v>
      </c>
      <c r="B62" s="17">
        <f>$B$59*(1-$B$61)</f>
        <v>0.33333333333333337</v>
      </c>
      <c r="C62" s="2" t="s">
        <v>112</v>
      </c>
    </row>
    <row r="63" spans="1:9" x14ac:dyDescent="0.45">
      <c r="A63" s="5" t="s">
        <v>113</v>
      </c>
      <c r="B63" s="17">
        <f>1-$B$62</f>
        <v>0.66666666666666663</v>
      </c>
    </row>
    <row r="65" spans="1:9" x14ac:dyDescent="0.45">
      <c r="A65" s="3" t="s">
        <v>114</v>
      </c>
      <c r="B65" s="3"/>
      <c r="C65" s="3"/>
      <c r="D65" s="3"/>
      <c r="E65" s="3"/>
      <c r="F65" s="3"/>
      <c r="G65" s="3"/>
      <c r="H65" s="3"/>
      <c r="I65" s="3"/>
    </row>
    <row r="66" spans="1:9" x14ac:dyDescent="0.45">
      <c r="A66" s="2" t="s">
        <v>115</v>
      </c>
    </row>
    <row r="67" spans="1:9" x14ac:dyDescent="0.45">
      <c r="A67" s="5" t="s">
        <v>116</v>
      </c>
      <c r="B67" s="12">
        <v>5</v>
      </c>
    </row>
    <row r="68" spans="1:9" x14ac:dyDescent="0.45">
      <c r="A68" s="5" t="s">
        <v>117</v>
      </c>
      <c r="B68" s="12">
        <v>5</v>
      </c>
      <c r="C68" s="2" t="s">
        <v>118</v>
      </c>
    </row>
    <row r="69" spans="1:9" x14ac:dyDescent="0.45">
      <c r="A69" s="5" t="s">
        <v>119</v>
      </c>
      <c r="B69" s="17">
        <v>0.1</v>
      </c>
    </row>
    <row r="70" spans="1:9" x14ac:dyDescent="0.45">
      <c r="A70" s="5" t="s">
        <v>120</v>
      </c>
      <c r="B70" s="12">
        <v>3</v>
      </c>
      <c r="C70" s="2" t="s">
        <v>121</v>
      </c>
    </row>
    <row r="71" spans="1:9" x14ac:dyDescent="0.45">
      <c r="A71" s="6" t="s">
        <v>122</v>
      </c>
      <c r="B71" s="6" t="s">
        <v>123</v>
      </c>
      <c r="C71" s="6" t="s">
        <v>124</v>
      </c>
      <c r="D71" s="6" t="s">
        <v>125</v>
      </c>
      <c r="E71" s="6" t="s">
        <v>126</v>
      </c>
    </row>
    <row r="72" spans="1:9" x14ac:dyDescent="0.45">
      <c r="A72" s="12">
        <v>1</v>
      </c>
      <c r="B72" s="10">
        <f t="shared" ref="B72:B86" si="1">IF(A72&lt;$B$67,0,IF(MOD(A72,$B$68)=0,1,$B$69))</f>
        <v>0</v>
      </c>
      <c r="C72" s="10">
        <f t="shared" ref="C72:C86" si="2">IF(MOD(A72,$B$70)=0,1,0)</f>
        <v>0</v>
      </c>
      <c r="D72" s="15" t="s">
        <v>127</v>
      </c>
      <c r="E72" s="15" t="s">
        <v>128</v>
      </c>
    </row>
    <row r="73" spans="1:9" x14ac:dyDescent="0.45">
      <c r="A73" s="12">
        <v>2</v>
      </c>
      <c r="B73" s="10">
        <f t="shared" si="1"/>
        <v>0</v>
      </c>
      <c r="C73" s="10">
        <f t="shared" si="2"/>
        <v>0</v>
      </c>
      <c r="D73" s="15" t="s">
        <v>127</v>
      </c>
      <c r="E73" s="15" t="s">
        <v>128</v>
      </c>
    </row>
    <row r="74" spans="1:9" x14ac:dyDescent="0.45">
      <c r="A74" s="12">
        <v>3</v>
      </c>
      <c r="B74" s="10">
        <f t="shared" si="1"/>
        <v>0</v>
      </c>
      <c r="C74" s="10">
        <f t="shared" si="2"/>
        <v>1</v>
      </c>
      <c r="D74" s="15" t="s">
        <v>127</v>
      </c>
      <c r="E74" s="15" t="s">
        <v>128</v>
      </c>
    </row>
    <row r="75" spans="1:9" x14ac:dyDescent="0.45">
      <c r="A75" s="12">
        <v>4</v>
      </c>
      <c r="B75" s="10">
        <f t="shared" si="1"/>
        <v>0</v>
      </c>
      <c r="C75" s="10">
        <f t="shared" si="2"/>
        <v>0</v>
      </c>
      <c r="D75" s="15" t="s">
        <v>127</v>
      </c>
      <c r="E75" s="15" t="s">
        <v>128</v>
      </c>
    </row>
    <row r="76" spans="1:9" x14ac:dyDescent="0.45">
      <c r="A76" s="12">
        <v>5</v>
      </c>
      <c r="B76" s="10">
        <f t="shared" si="1"/>
        <v>1</v>
      </c>
      <c r="C76" s="10">
        <f t="shared" si="2"/>
        <v>0</v>
      </c>
      <c r="D76" s="15" t="s">
        <v>127</v>
      </c>
      <c r="E76" s="15" t="s">
        <v>128</v>
      </c>
    </row>
    <row r="77" spans="1:9" x14ac:dyDescent="0.45">
      <c r="A77" s="12">
        <v>6</v>
      </c>
      <c r="B77" s="10">
        <f t="shared" si="1"/>
        <v>0.1</v>
      </c>
      <c r="C77" s="10">
        <f t="shared" si="2"/>
        <v>1</v>
      </c>
      <c r="D77" s="15" t="s">
        <v>127</v>
      </c>
      <c r="E77" s="15" t="s">
        <v>128</v>
      </c>
    </row>
    <row r="78" spans="1:9" x14ac:dyDescent="0.45">
      <c r="A78" s="12">
        <v>7</v>
      </c>
      <c r="B78" s="10">
        <f t="shared" si="1"/>
        <v>0.1</v>
      </c>
      <c r="C78" s="10">
        <f t="shared" si="2"/>
        <v>0</v>
      </c>
      <c r="D78" s="15" t="s">
        <v>127</v>
      </c>
      <c r="E78" s="15" t="s">
        <v>128</v>
      </c>
    </row>
    <row r="79" spans="1:9" x14ac:dyDescent="0.45">
      <c r="A79" s="12">
        <v>8</v>
      </c>
      <c r="B79" s="10">
        <f t="shared" si="1"/>
        <v>0.1</v>
      </c>
      <c r="C79" s="10">
        <f t="shared" si="2"/>
        <v>0</v>
      </c>
      <c r="D79" s="15" t="s">
        <v>127</v>
      </c>
      <c r="E79" s="15" t="s">
        <v>128</v>
      </c>
    </row>
    <row r="80" spans="1:9" x14ac:dyDescent="0.45">
      <c r="A80" s="12">
        <v>9</v>
      </c>
      <c r="B80" s="10">
        <f t="shared" si="1"/>
        <v>0.1</v>
      </c>
      <c r="C80" s="10">
        <f t="shared" si="2"/>
        <v>1</v>
      </c>
      <c r="D80" s="15" t="s">
        <v>127</v>
      </c>
      <c r="E80" s="15" t="s">
        <v>128</v>
      </c>
    </row>
    <row r="81" spans="1:9" x14ac:dyDescent="0.45">
      <c r="A81" s="12">
        <v>10</v>
      </c>
      <c r="B81" s="10">
        <f t="shared" si="1"/>
        <v>1</v>
      </c>
      <c r="C81" s="10">
        <f t="shared" si="2"/>
        <v>0</v>
      </c>
      <c r="D81" s="15" t="s">
        <v>127</v>
      </c>
      <c r="E81" s="15" t="s">
        <v>128</v>
      </c>
    </row>
    <row r="82" spans="1:9" x14ac:dyDescent="0.45">
      <c r="A82" s="12">
        <v>11</v>
      </c>
      <c r="B82" s="10">
        <f t="shared" si="1"/>
        <v>0.1</v>
      </c>
      <c r="C82" s="10">
        <f t="shared" si="2"/>
        <v>0</v>
      </c>
      <c r="D82" s="15" t="s">
        <v>127</v>
      </c>
      <c r="E82" s="15" t="s">
        <v>128</v>
      </c>
    </row>
    <row r="83" spans="1:9" x14ac:dyDescent="0.45">
      <c r="A83" s="12">
        <v>12</v>
      </c>
      <c r="B83" s="10">
        <f t="shared" si="1"/>
        <v>0.1</v>
      </c>
      <c r="C83" s="10">
        <f t="shared" si="2"/>
        <v>1</v>
      </c>
      <c r="D83" s="15" t="s">
        <v>127</v>
      </c>
      <c r="E83" s="15" t="s">
        <v>128</v>
      </c>
    </row>
    <row r="84" spans="1:9" x14ac:dyDescent="0.45">
      <c r="A84" s="12">
        <v>13</v>
      </c>
      <c r="B84" s="10">
        <f t="shared" si="1"/>
        <v>0.1</v>
      </c>
      <c r="C84" s="10">
        <f t="shared" si="2"/>
        <v>0</v>
      </c>
      <c r="D84" s="15" t="s">
        <v>127</v>
      </c>
      <c r="E84" s="15" t="s">
        <v>128</v>
      </c>
    </row>
    <row r="85" spans="1:9" x14ac:dyDescent="0.45">
      <c r="A85" s="12">
        <v>14</v>
      </c>
      <c r="B85" s="10">
        <f t="shared" si="1"/>
        <v>0.1</v>
      </c>
      <c r="C85" s="10">
        <f t="shared" si="2"/>
        <v>0</v>
      </c>
      <c r="D85" s="15" t="s">
        <v>127</v>
      </c>
      <c r="E85" s="15" t="s">
        <v>128</v>
      </c>
    </row>
    <row r="86" spans="1:9" x14ac:dyDescent="0.45">
      <c r="A86" s="12">
        <v>15</v>
      </c>
      <c r="B86" s="10">
        <f t="shared" si="1"/>
        <v>1</v>
      </c>
      <c r="C86" s="10">
        <f t="shared" si="2"/>
        <v>1</v>
      </c>
      <c r="D86" s="15" t="s">
        <v>127</v>
      </c>
      <c r="E86" s="15" t="s">
        <v>128</v>
      </c>
    </row>
    <row r="87" spans="1:9" x14ac:dyDescent="0.45">
      <c r="A87" s="2" t="s">
        <v>129</v>
      </c>
    </row>
    <row r="89" spans="1:9" x14ac:dyDescent="0.45">
      <c r="A89" s="3" t="s">
        <v>130</v>
      </c>
      <c r="B89" s="3"/>
      <c r="C89" s="3"/>
      <c r="D89" s="3"/>
      <c r="E89" s="3"/>
      <c r="F89" s="3"/>
      <c r="G89" s="3"/>
      <c r="H89" s="3"/>
      <c r="I89" s="3"/>
    </row>
    <row r="90" spans="1:9" x14ac:dyDescent="0.45">
      <c r="A90" s="2" t="s">
        <v>131</v>
      </c>
    </row>
    <row r="91" spans="1:9" x14ac:dyDescent="0.45">
      <c r="A91" s="7" t="s">
        <v>132</v>
      </c>
      <c r="B91" s="8" t="s">
        <v>53</v>
      </c>
      <c r="C91" s="8" t="s">
        <v>28</v>
      </c>
      <c r="D91" s="8" t="s">
        <v>55</v>
      </c>
    </row>
    <row r="92" spans="1:9" x14ac:dyDescent="0.45">
      <c r="A92" s="8" t="s">
        <v>51</v>
      </c>
      <c r="B92" s="10">
        <f>1/3</f>
        <v>0.33333333333333331</v>
      </c>
      <c r="C92" s="10">
        <f>1/3</f>
        <v>0.33333333333333331</v>
      </c>
      <c r="D92" s="10">
        <f>1/3</f>
        <v>0.33333333333333331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showGridLines="0" workbookViewId="0"/>
  </sheetViews>
  <sheetFormatPr baseColWidth="10" defaultColWidth="9.06640625" defaultRowHeight="14.25" x14ac:dyDescent="0.45"/>
  <cols>
    <col min="1" max="1" width="34" customWidth="1"/>
    <col min="2" max="9" width="13" customWidth="1"/>
    <col min="10" max="10" width="40" customWidth="1"/>
  </cols>
  <sheetData>
    <row r="1" spans="1:10" ht="17.649999999999999" x14ac:dyDescent="0.5">
      <c r="A1" s="1" t="s">
        <v>133</v>
      </c>
    </row>
    <row r="2" spans="1:10" x14ac:dyDescent="0.45">
      <c r="A2" s="2" t="s">
        <v>134</v>
      </c>
    </row>
    <row r="4" spans="1:10" x14ac:dyDescent="0.45">
      <c r="A4" s="3" t="s">
        <v>135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45">
      <c r="A5" s="2" t="s">
        <v>136</v>
      </c>
    </row>
    <row r="6" spans="1:10" x14ac:dyDescent="0.45">
      <c r="A6" s="6" t="s">
        <v>137</v>
      </c>
      <c r="B6" s="6" t="s">
        <v>138</v>
      </c>
      <c r="C6" s="6" t="s">
        <v>139</v>
      </c>
    </row>
    <row r="7" spans="1:10" x14ac:dyDescent="0.45">
      <c r="A7" s="8" t="s">
        <v>140</v>
      </c>
      <c r="B7" s="9">
        <v>2</v>
      </c>
      <c r="C7" s="9">
        <v>0.5</v>
      </c>
    </row>
    <row r="8" spans="1:10" x14ac:dyDescent="0.45">
      <c r="A8" s="8" t="s">
        <v>141</v>
      </c>
      <c r="B8" s="9">
        <v>6</v>
      </c>
      <c r="C8" s="9">
        <v>1.5</v>
      </c>
    </row>
    <row r="9" spans="1:10" x14ac:dyDescent="0.45">
      <c r="A9" s="8" t="s">
        <v>142</v>
      </c>
      <c r="B9" s="9">
        <v>16</v>
      </c>
      <c r="C9" s="9">
        <v>3</v>
      </c>
    </row>
    <row r="10" spans="1:10" x14ac:dyDescent="0.45">
      <c r="A10" s="8" t="s">
        <v>143</v>
      </c>
      <c r="B10" s="9">
        <v>24</v>
      </c>
      <c r="C10" s="9">
        <v>4</v>
      </c>
    </row>
    <row r="12" spans="1:10" x14ac:dyDescent="0.45">
      <c r="A12" s="3" t="s">
        <v>144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45">
      <c r="A13" s="6" t="s">
        <v>145</v>
      </c>
      <c r="B13" s="6" t="s">
        <v>140</v>
      </c>
      <c r="C13" s="6" t="s">
        <v>141</v>
      </c>
      <c r="D13" s="6" t="s">
        <v>142</v>
      </c>
      <c r="E13" s="6" t="s">
        <v>143</v>
      </c>
      <c r="F13" s="6" t="s">
        <v>146</v>
      </c>
      <c r="G13" s="6" t="s">
        <v>147</v>
      </c>
      <c r="H13" s="6" t="s">
        <v>148</v>
      </c>
      <c r="I13" s="6" t="s">
        <v>149</v>
      </c>
      <c r="J13" s="6" t="s">
        <v>150</v>
      </c>
    </row>
    <row r="14" spans="1:10" x14ac:dyDescent="0.45">
      <c r="A14" s="12">
        <v>0</v>
      </c>
      <c r="B14" s="10">
        <f t="shared" ref="B14:B26" si="0">MAX(0,MIN($B$7+$C$7*A14,100))/100</f>
        <v>0.02</v>
      </c>
      <c r="C14" s="10">
        <f t="shared" ref="C14:C26" si="1">MAX(0,MIN($B$8+$C$8*A14,100-100*B14))/100</f>
        <v>0.06</v>
      </c>
      <c r="D14" s="10">
        <f t="shared" ref="D14:D26" si="2">MAX(0,MIN($B$9+$C$9*A14,100-100*(B14+C14)))/100</f>
        <v>0.16</v>
      </c>
      <c r="E14" s="10">
        <f t="shared" ref="E14:E26" si="3">MAX(0,MIN($B$10+$C$10*A14,100-100*(B14+C14+D14)))/100</f>
        <v>0.24</v>
      </c>
      <c r="F14" s="10">
        <f t="shared" ref="F14:F26" si="4">1-SUM(B14:E14)</f>
        <v>0.52</v>
      </c>
      <c r="G14" s="10">
        <f t="shared" ref="G14:G26" si="5">SUM(B14:D14)</f>
        <v>0.24</v>
      </c>
      <c r="H14" s="10">
        <f t="shared" ref="H14:H26" si="6">1-(1-B14)^3</f>
        <v>5.8808000000000082E-2</v>
      </c>
      <c r="I14" s="10">
        <f t="shared" ref="I14:I26" si="7">1-(1-B14-C14)^3</f>
        <v>0.22131200000000018</v>
      </c>
      <c r="J14" s="14">
        <f t="shared" ref="J14:J26" si="8">3*G14</f>
        <v>0.72</v>
      </c>
    </row>
    <row r="15" spans="1:10" x14ac:dyDescent="0.45">
      <c r="A15" s="12">
        <v>1</v>
      </c>
      <c r="B15" s="10">
        <f t="shared" si="0"/>
        <v>2.5000000000000001E-2</v>
      </c>
      <c r="C15" s="10">
        <f t="shared" si="1"/>
        <v>7.4999999999999997E-2</v>
      </c>
      <c r="D15" s="10">
        <f t="shared" si="2"/>
        <v>0.19</v>
      </c>
      <c r="E15" s="10">
        <f t="shared" si="3"/>
        <v>0.28000000000000003</v>
      </c>
      <c r="F15" s="10">
        <f t="shared" si="4"/>
        <v>0.42999999999999994</v>
      </c>
      <c r="G15" s="10">
        <f t="shared" si="5"/>
        <v>0.29000000000000004</v>
      </c>
      <c r="H15" s="10">
        <f t="shared" si="6"/>
        <v>7.314062500000007E-2</v>
      </c>
      <c r="I15" s="10">
        <f t="shared" si="7"/>
        <v>0.27099999999999991</v>
      </c>
      <c r="J15" s="14">
        <f t="shared" si="8"/>
        <v>0.87000000000000011</v>
      </c>
    </row>
    <row r="16" spans="1:10" x14ac:dyDescent="0.45">
      <c r="A16" s="12">
        <v>2</v>
      </c>
      <c r="B16" s="10">
        <f t="shared" si="0"/>
        <v>0.03</v>
      </c>
      <c r="C16" s="10">
        <f t="shared" si="1"/>
        <v>0.09</v>
      </c>
      <c r="D16" s="10">
        <f t="shared" si="2"/>
        <v>0.22</v>
      </c>
      <c r="E16" s="10">
        <f t="shared" si="3"/>
        <v>0.32</v>
      </c>
      <c r="F16" s="10">
        <f t="shared" si="4"/>
        <v>0.34000000000000008</v>
      </c>
      <c r="G16" s="10">
        <f t="shared" si="5"/>
        <v>0.33999999999999997</v>
      </c>
      <c r="H16" s="10">
        <f t="shared" si="6"/>
        <v>8.7327000000000043E-2</v>
      </c>
      <c r="I16" s="10">
        <f t="shared" si="7"/>
        <v>0.31852800000000003</v>
      </c>
      <c r="J16" s="14">
        <f t="shared" si="8"/>
        <v>1.02</v>
      </c>
    </row>
    <row r="17" spans="1:10" x14ac:dyDescent="0.45">
      <c r="A17" s="12">
        <v>3</v>
      </c>
      <c r="B17" s="10">
        <f t="shared" si="0"/>
        <v>3.5000000000000003E-2</v>
      </c>
      <c r="C17" s="10">
        <f t="shared" si="1"/>
        <v>0.105</v>
      </c>
      <c r="D17" s="10">
        <f t="shared" si="2"/>
        <v>0.25</v>
      </c>
      <c r="E17" s="10">
        <f t="shared" si="3"/>
        <v>0.36</v>
      </c>
      <c r="F17" s="10">
        <f t="shared" si="4"/>
        <v>0.25</v>
      </c>
      <c r="G17" s="10">
        <f t="shared" si="5"/>
        <v>0.39</v>
      </c>
      <c r="H17" s="10">
        <f t="shared" si="6"/>
        <v>0.10136787500000011</v>
      </c>
      <c r="I17" s="10">
        <f t="shared" si="7"/>
        <v>0.36394400000000005</v>
      </c>
      <c r="J17" s="14">
        <f t="shared" si="8"/>
        <v>1.17</v>
      </c>
    </row>
    <row r="18" spans="1:10" x14ac:dyDescent="0.45">
      <c r="A18" s="12">
        <v>4</v>
      </c>
      <c r="B18" s="10">
        <f t="shared" si="0"/>
        <v>0.04</v>
      </c>
      <c r="C18" s="10">
        <f t="shared" si="1"/>
        <v>0.12</v>
      </c>
      <c r="D18" s="10">
        <f t="shared" si="2"/>
        <v>0.28000000000000003</v>
      </c>
      <c r="E18" s="10">
        <f t="shared" si="3"/>
        <v>0.4</v>
      </c>
      <c r="F18" s="10">
        <f t="shared" si="4"/>
        <v>0.15999999999999992</v>
      </c>
      <c r="G18" s="10">
        <f t="shared" si="5"/>
        <v>0.44000000000000006</v>
      </c>
      <c r="H18" s="10">
        <f t="shared" si="6"/>
        <v>0.11526400000000003</v>
      </c>
      <c r="I18" s="10">
        <f t="shared" si="7"/>
        <v>0.4072960000000001</v>
      </c>
      <c r="J18" s="14">
        <f t="shared" si="8"/>
        <v>1.3200000000000003</v>
      </c>
    </row>
    <row r="19" spans="1:10" x14ac:dyDescent="0.45">
      <c r="A19" s="12">
        <v>5</v>
      </c>
      <c r="B19" s="10">
        <f t="shared" si="0"/>
        <v>4.4999999999999998E-2</v>
      </c>
      <c r="C19" s="10">
        <f t="shared" si="1"/>
        <v>0.13500000000000001</v>
      </c>
      <c r="D19" s="10">
        <f t="shared" si="2"/>
        <v>0.31</v>
      </c>
      <c r="E19" s="10">
        <f t="shared" si="3"/>
        <v>0.44</v>
      </c>
      <c r="F19" s="10">
        <f t="shared" si="4"/>
        <v>7.0000000000000062E-2</v>
      </c>
      <c r="G19" s="10">
        <f t="shared" si="5"/>
        <v>0.49</v>
      </c>
      <c r="H19" s="10">
        <f t="shared" si="6"/>
        <v>0.12901612500000004</v>
      </c>
      <c r="I19" s="10">
        <f t="shared" si="7"/>
        <v>0.44863200000000014</v>
      </c>
      <c r="J19" s="14">
        <f t="shared" si="8"/>
        <v>1.47</v>
      </c>
    </row>
    <row r="20" spans="1:10" x14ac:dyDescent="0.45">
      <c r="A20" s="12">
        <v>6</v>
      </c>
      <c r="B20" s="10">
        <f t="shared" si="0"/>
        <v>0.05</v>
      </c>
      <c r="C20" s="10">
        <f t="shared" si="1"/>
        <v>0.15</v>
      </c>
      <c r="D20" s="10">
        <f t="shared" si="2"/>
        <v>0.34</v>
      </c>
      <c r="E20" s="10">
        <f t="shared" si="3"/>
        <v>0.46</v>
      </c>
      <c r="F20" s="10">
        <f t="shared" si="4"/>
        <v>0</v>
      </c>
      <c r="G20" s="10">
        <f t="shared" si="5"/>
        <v>0.54</v>
      </c>
      <c r="H20" s="10">
        <f t="shared" si="6"/>
        <v>0.14262500000000011</v>
      </c>
      <c r="I20" s="10">
        <f t="shared" si="7"/>
        <v>0.4880000000000001</v>
      </c>
      <c r="J20" s="14">
        <f t="shared" si="8"/>
        <v>1.62</v>
      </c>
    </row>
    <row r="21" spans="1:10" x14ac:dyDescent="0.45">
      <c r="A21" s="12">
        <v>7</v>
      </c>
      <c r="B21" s="10">
        <f t="shared" si="0"/>
        <v>5.5E-2</v>
      </c>
      <c r="C21" s="10">
        <f t="shared" si="1"/>
        <v>0.16500000000000001</v>
      </c>
      <c r="D21" s="10">
        <f t="shared" si="2"/>
        <v>0.37</v>
      </c>
      <c r="E21" s="10">
        <f t="shared" si="3"/>
        <v>0.41</v>
      </c>
      <c r="F21" s="10">
        <f t="shared" si="4"/>
        <v>0</v>
      </c>
      <c r="G21" s="10">
        <f t="shared" si="5"/>
        <v>0.59</v>
      </c>
      <c r="H21" s="10">
        <f t="shared" si="6"/>
        <v>0.15609137500000003</v>
      </c>
      <c r="I21" s="10">
        <f t="shared" si="7"/>
        <v>0.52544800000000014</v>
      </c>
      <c r="J21" s="14">
        <f t="shared" si="8"/>
        <v>1.77</v>
      </c>
    </row>
    <row r="22" spans="1:10" x14ac:dyDescent="0.45">
      <c r="A22" s="12">
        <v>8</v>
      </c>
      <c r="B22" s="10">
        <f t="shared" si="0"/>
        <v>0.06</v>
      </c>
      <c r="C22" s="10">
        <f t="shared" si="1"/>
        <v>0.18</v>
      </c>
      <c r="D22" s="10">
        <f t="shared" si="2"/>
        <v>0.4</v>
      </c>
      <c r="E22" s="10">
        <f t="shared" si="3"/>
        <v>0.36</v>
      </c>
      <c r="F22" s="10">
        <f t="shared" si="4"/>
        <v>0</v>
      </c>
      <c r="G22" s="10">
        <f t="shared" si="5"/>
        <v>0.64</v>
      </c>
      <c r="H22" s="10">
        <f t="shared" si="6"/>
        <v>0.16941600000000012</v>
      </c>
      <c r="I22" s="10">
        <f t="shared" si="7"/>
        <v>0.56102399999999997</v>
      </c>
      <c r="J22" s="14">
        <f t="shared" si="8"/>
        <v>1.92</v>
      </c>
    </row>
    <row r="23" spans="1:10" x14ac:dyDescent="0.45">
      <c r="A23" s="12">
        <v>9</v>
      </c>
      <c r="B23" s="10">
        <f t="shared" si="0"/>
        <v>6.5000000000000002E-2</v>
      </c>
      <c r="C23" s="10">
        <f t="shared" si="1"/>
        <v>0.19500000000000001</v>
      </c>
      <c r="D23" s="10">
        <f t="shared" si="2"/>
        <v>0.43</v>
      </c>
      <c r="E23" s="10">
        <f t="shared" si="3"/>
        <v>0.31</v>
      </c>
      <c r="F23" s="10">
        <f t="shared" si="4"/>
        <v>0</v>
      </c>
      <c r="G23" s="10">
        <f t="shared" si="5"/>
        <v>0.69</v>
      </c>
      <c r="H23" s="10">
        <f t="shared" si="6"/>
        <v>0.18259962499999982</v>
      </c>
      <c r="I23" s="10">
        <f t="shared" si="7"/>
        <v>0.59477599999999997</v>
      </c>
      <c r="J23" s="14">
        <f t="shared" si="8"/>
        <v>2.0699999999999998</v>
      </c>
    </row>
    <row r="24" spans="1:10" x14ac:dyDescent="0.45">
      <c r="A24" s="12">
        <v>10</v>
      </c>
      <c r="B24" s="10">
        <f t="shared" si="0"/>
        <v>7.0000000000000007E-2</v>
      </c>
      <c r="C24" s="10">
        <f t="shared" si="1"/>
        <v>0.21</v>
      </c>
      <c r="D24" s="10">
        <f t="shared" si="2"/>
        <v>0.46</v>
      </c>
      <c r="E24" s="10">
        <f t="shared" si="3"/>
        <v>0.26</v>
      </c>
      <c r="F24" s="10">
        <f t="shared" si="4"/>
        <v>0</v>
      </c>
      <c r="G24" s="10">
        <f t="shared" si="5"/>
        <v>0.74</v>
      </c>
      <c r="H24" s="10">
        <f t="shared" si="6"/>
        <v>0.19564300000000012</v>
      </c>
      <c r="I24" s="10">
        <f t="shared" si="7"/>
        <v>0.62675199999999998</v>
      </c>
      <c r="J24" s="14">
        <f t="shared" si="8"/>
        <v>2.2199999999999998</v>
      </c>
    </row>
    <row r="25" spans="1:10" x14ac:dyDescent="0.45">
      <c r="A25" s="12">
        <v>11</v>
      </c>
      <c r="B25" s="10">
        <f t="shared" si="0"/>
        <v>7.4999999999999997E-2</v>
      </c>
      <c r="C25" s="10">
        <f t="shared" si="1"/>
        <v>0.22500000000000001</v>
      </c>
      <c r="D25" s="10">
        <f t="shared" si="2"/>
        <v>0.49</v>
      </c>
      <c r="E25" s="10">
        <f t="shared" si="3"/>
        <v>0.21</v>
      </c>
      <c r="F25" s="10">
        <f t="shared" si="4"/>
        <v>0</v>
      </c>
      <c r="G25" s="10">
        <f t="shared" si="5"/>
        <v>0.79</v>
      </c>
      <c r="H25" s="10">
        <f t="shared" si="6"/>
        <v>0.20854687499999991</v>
      </c>
      <c r="I25" s="10">
        <f t="shared" si="7"/>
        <v>0.65699999999999992</v>
      </c>
      <c r="J25" s="14">
        <f t="shared" si="8"/>
        <v>2.37</v>
      </c>
    </row>
    <row r="26" spans="1:10" x14ac:dyDescent="0.45">
      <c r="A26" s="12">
        <v>12</v>
      </c>
      <c r="B26" s="10">
        <f t="shared" si="0"/>
        <v>0.08</v>
      </c>
      <c r="C26" s="10">
        <f t="shared" si="1"/>
        <v>0.24</v>
      </c>
      <c r="D26" s="10">
        <f t="shared" si="2"/>
        <v>0.52</v>
      </c>
      <c r="E26" s="10">
        <f t="shared" si="3"/>
        <v>0.15999999999999986</v>
      </c>
      <c r="F26" s="10">
        <f t="shared" si="4"/>
        <v>0</v>
      </c>
      <c r="G26" s="10">
        <f t="shared" si="5"/>
        <v>0.84000000000000008</v>
      </c>
      <c r="H26" s="10">
        <f t="shared" si="6"/>
        <v>0.22131199999999995</v>
      </c>
      <c r="I26" s="10">
        <f t="shared" si="7"/>
        <v>0.68556799999999996</v>
      </c>
      <c r="J26" s="14">
        <f t="shared" si="8"/>
        <v>2.5200000000000005</v>
      </c>
    </row>
    <row r="27" spans="1:10" x14ac:dyDescent="0.45">
      <c r="A27" s="2" t="s">
        <v>151</v>
      </c>
    </row>
    <row r="29" spans="1:10" x14ac:dyDescent="0.45">
      <c r="A29" s="3" t="s">
        <v>152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45">
      <c r="A30" s="2" t="s">
        <v>153</v>
      </c>
    </row>
    <row r="31" spans="1:10" x14ac:dyDescent="0.45">
      <c r="A31" s="5" t="s">
        <v>154</v>
      </c>
      <c r="B31" s="12">
        <v>5</v>
      </c>
      <c r="C31" s="2" t="s">
        <v>155</v>
      </c>
    </row>
    <row r="32" spans="1:10" x14ac:dyDescent="0.45">
      <c r="A32" s="5" t="s">
        <v>156</v>
      </c>
      <c r="B32" s="17">
        <f>1/$B$31</f>
        <v>0.2</v>
      </c>
    </row>
    <row r="33" spans="1:10" x14ac:dyDescent="0.45">
      <c r="A33" s="5" t="s">
        <v>157</v>
      </c>
      <c r="B33" s="17">
        <f>1-(1-1/$B$31)^3</f>
        <v>0.48799999999999988</v>
      </c>
    </row>
    <row r="34" spans="1:10" x14ac:dyDescent="0.45">
      <c r="A34" s="5" t="s">
        <v>158</v>
      </c>
      <c r="B34" s="17">
        <f>$B$31*(1/$B$31)^3</f>
        <v>4.0000000000000008E-2</v>
      </c>
    </row>
    <row r="35" spans="1:10" x14ac:dyDescent="0.45">
      <c r="A35" s="5" t="s">
        <v>159</v>
      </c>
      <c r="B35" s="17">
        <f>($B$31*($B$31-1)*($B$31-2))/$B$31^3</f>
        <v>0.48</v>
      </c>
    </row>
    <row r="37" spans="1:10" x14ac:dyDescent="0.45">
      <c r="A37" s="3" t="s">
        <v>160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45">
      <c r="A38" s="2" t="s">
        <v>161</v>
      </c>
    </row>
    <row r="39" spans="1:10" x14ac:dyDescent="0.45">
      <c r="A39" s="5" t="s">
        <v>138</v>
      </c>
      <c r="B39" s="9">
        <v>0.5</v>
      </c>
    </row>
    <row r="40" spans="1:10" x14ac:dyDescent="0.45">
      <c r="A40" s="5" t="s">
        <v>162</v>
      </c>
      <c r="B40" s="9">
        <v>0.15</v>
      </c>
    </row>
    <row r="41" spans="1:10" x14ac:dyDescent="0.45">
      <c r="A41" s="5" t="s">
        <v>163</v>
      </c>
      <c r="B41" s="12">
        <v>3</v>
      </c>
      <c r="C41" s="2" t="s">
        <v>164</v>
      </c>
    </row>
    <row r="42" spans="1:10" x14ac:dyDescent="0.45">
      <c r="A42" s="5" t="s">
        <v>165</v>
      </c>
      <c r="B42" s="12">
        <v>1</v>
      </c>
      <c r="C42" s="2" t="s">
        <v>166</v>
      </c>
    </row>
    <row r="43" spans="1:10" x14ac:dyDescent="0.45">
      <c r="A43" s="6" t="s">
        <v>145</v>
      </c>
      <c r="B43" s="6" t="s">
        <v>167</v>
      </c>
      <c r="C43" s="6" t="s">
        <v>168</v>
      </c>
      <c r="D43" s="6" t="s">
        <v>169</v>
      </c>
      <c r="E43" s="6" t="s">
        <v>170</v>
      </c>
      <c r="F43" s="6" t="s">
        <v>171</v>
      </c>
    </row>
    <row r="44" spans="1:10" x14ac:dyDescent="0.45">
      <c r="A44" s="12">
        <v>0</v>
      </c>
      <c r="B44" s="18">
        <f t="shared" ref="B44:B56" si="9">MIN(100,$B$39+$B$40*A44)/100</f>
        <v>5.0000000000000001E-3</v>
      </c>
      <c r="C44" s="10">
        <f t="shared" ref="C44:C56" si="10">1-(1-B44)^$B$41</f>
        <v>1.4925124999999984E-2</v>
      </c>
      <c r="D44" s="10">
        <f t="shared" ref="D44:D56" si="11">1-(1-B44)^($B$41+$B$42)</f>
        <v>1.9850499374999941E-2</v>
      </c>
      <c r="E44" s="14">
        <f t="shared" ref="E44:E56" si="12">($B$41+$B$42)*B44</f>
        <v>0.02</v>
      </c>
      <c r="F44" s="14">
        <f t="shared" ref="F44:F56" si="13">1/D44</f>
        <v>50.376566408168912</v>
      </c>
    </row>
    <row r="45" spans="1:10" x14ac:dyDescent="0.45">
      <c r="A45" s="12">
        <v>1</v>
      </c>
      <c r="B45" s="18">
        <f t="shared" si="9"/>
        <v>6.5000000000000006E-3</v>
      </c>
      <c r="C45" s="10">
        <f t="shared" si="10"/>
        <v>1.937352462499986E-2</v>
      </c>
      <c r="D45" s="10">
        <f t="shared" si="11"/>
        <v>2.5747596714937315E-2</v>
      </c>
      <c r="E45" s="14">
        <f t="shared" si="12"/>
        <v>2.6000000000000002E-2</v>
      </c>
      <c r="F45" s="14">
        <f t="shared" si="13"/>
        <v>38.838576317293956</v>
      </c>
    </row>
    <row r="46" spans="1:10" x14ac:dyDescent="0.45">
      <c r="A46" s="12">
        <v>2</v>
      </c>
      <c r="B46" s="18">
        <f t="shared" si="9"/>
        <v>8.0000000000000002E-3</v>
      </c>
      <c r="C46" s="10">
        <f t="shared" si="10"/>
        <v>2.3808512000000115E-2</v>
      </c>
      <c r="D46" s="10">
        <f t="shared" si="11"/>
        <v>3.1618043904000137E-2</v>
      </c>
      <c r="E46" s="14">
        <f t="shared" si="12"/>
        <v>3.2000000000000001E-2</v>
      </c>
      <c r="F46" s="14">
        <f t="shared" si="13"/>
        <v>31.627510007773935</v>
      </c>
    </row>
    <row r="47" spans="1:10" x14ac:dyDescent="0.45">
      <c r="A47" s="12">
        <v>3</v>
      </c>
      <c r="B47" s="18">
        <f t="shared" si="9"/>
        <v>9.4999999999999998E-3</v>
      </c>
      <c r="C47" s="10">
        <f t="shared" si="10"/>
        <v>2.8230107374999869E-2</v>
      </c>
      <c r="D47" s="10">
        <f t="shared" si="11"/>
        <v>3.7461921354937422E-2</v>
      </c>
      <c r="E47" s="14">
        <f t="shared" si="12"/>
        <v>3.7999999999999999E-2</v>
      </c>
      <c r="F47" s="14">
        <f t="shared" si="13"/>
        <v>26.693772338193263</v>
      </c>
    </row>
    <row r="48" spans="1:10" x14ac:dyDescent="0.45">
      <c r="A48" s="12">
        <v>4</v>
      </c>
      <c r="B48" s="18">
        <f t="shared" si="9"/>
        <v>1.1000000000000001E-2</v>
      </c>
      <c r="C48" s="10">
        <f t="shared" si="10"/>
        <v>3.263833100000002E-2</v>
      </c>
      <c r="D48" s="10">
        <f t="shared" si="11"/>
        <v>4.3279309358999929E-2</v>
      </c>
      <c r="E48" s="14">
        <f t="shared" si="12"/>
        <v>4.4000000000000004E-2</v>
      </c>
      <c r="F48" s="14">
        <f t="shared" si="13"/>
        <v>23.105729153509472</v>
      </c>
    </row>
    <row r="49" spans="1:10" x14ac:dyDescent="0.45">
      <c r="A49" s="12">
        <v>5</v>
      </c>
      <c r="B49" s="18">
        <f t="shared" si="9"/>
        <v>1.2500000000000001E-2</v>
      </c>
      <c r="C49" s="10">
        <f t="shared" si="10"/>
        <v>3.7033203124999914E-2</v>
      </c>
      <c r="D49" s="10">
        <f t="shared" si="11"/>
        <v>4.9070288085937386E-2</v>
      </c>
      <c r="E49" s="14">
        <f t="shared" si="12"/>
        <v>0.05</v>
      </c>
      <c r="F49" s="14">
        <f t="shared" si="13"/>
        <v>20.378930693226987</v>
      </c>
    </row>
    <row r="50" spans="1:10" x14ac:dyDescent="0.45">
      <c r="A50" s="12">
        <v>6</v>
      </c>
      <c r="B50" s="18">
        <f t="shared" si="9"/>
        <v>1.3999999999999999E-2</v>
      </c>
      <c r="C50" s="10">
        <f t="shared" si="10"/>
        <v>4.1414744000000114E-2</v>
      </c>
      <c r="D50" s="10">
        <f t="shared" si="11"/>
        <v>5.4834937584000154E-2</v>
      </c>
      <c r="E50" s="14">
        <f t="shared" si="12"/>
        <v>5.5999999999999994E-2</v>
      </c>
      <c r="F50" s="14">
        <f t="shared" si="13"/>
        <v>18.236548522885197</v>
      </c>
    </row>
    <row r="51" spans="1:10" x14ac:dyDescent="0.45">
      <c r="A51" s="12">
        <v>7</v>
      </c>
      <c r="B51" s="18">
        <f t="shared" si="9"/>
        <v>1.55E-2</v>
      </c>
      <c r="C51" s="10">
        <f t="shared" si="10"/>
        <v>4.5782973874999855E-2</v>
      </c>
      <c r="D51" s="10">
        <f t="shared" si="11"/>
        <v>6.0573337779937231E-2</v>
      </c>
      <c r="E51" s="14">
        <f t="shared" si="12"/>
        <v>6.2E-2</v>
      </c>
      <c r="F51" s="14">
        <f t="shared" si="13"/>
        <v>16.508913602103242</v>
      </c>
    </row>
    <row r="52" spans="1:10" x14ac:dyDescent="0.45">
      <c r="A52" s="12">
        <v>8</v>
      </c>
      <c r="B52" s="18">
        <f t="shared" si="9"/>
        <v>1.7000000000000001E-2</v>
      </c>
      <c r="C52" s="10">
        <f t="shared" si="10"/>
        <v>5.0137913000000034E-2</v>
      </c>
      <c r="D52" s="10">
        <f t="shared" si="11"/>
        <v>6.6285568479000134E-2</v>
      </c>
      <c r="E52" s="14">
        <f t="shared" si="12"/>
        <v>6.8000000000000005E-2</v>
      </c>
      <c r="F52" s="14">
        <f t="shared" si="13"/>
        <v>15.086240081305315</v>
      </c>
    </row>
    <row r="53" spans="1:10" x14ac:dyDescent="0.45">
      <c r="A53" s="12">
        <v>9</v>
      </c>
      <c r="B53" s="18">
        <f t="shared" si="9"/>
        <v>1.8499999999999999E-2</v>
      </c>
      <c r="C53" s="10">
        <f t="shared" si="10"/>
        <v>5.4479581624999884E-2</v>
      </c>
      <c r="D53" s="10">
        <f t="shared" si="11"/>
        <v>7.1971709364937353E-2</v>
      </c>
      <c r="E53" s="14">
        <f t="shared" si="12"/>
        <v>7.3999999999999996E-2</v>
      </c>
      <c r="F53" s="14">
        <f t="shared" si="13"/>
        <v>13.894348332473713</v>
      </c>
    </row>
    <row r="54" spans="1:10" x14ac:dyDescent="0.45">
      <c r="A54" s="12">
        <v>10</v>
      </c>
      <c r="B54" s="18">
        <f t="shared" si="9"/>
        <v>0.02</v>
      </c>
      <c r="C54" s="10">
        <f t="shared" si="10"/>
        <v>5.8808000000000082E-2</v>
      </c>
      <c r="D54" s="10">
        <f t="shared" si="11"/>
        <v>7.7631840000000119E-2</v>
      </c>
      <c r="E54" s="14">
        <f t="shared" si="12"/>
        <v>0.08</v>
      </c>
      <c r="F54" s="14">
        <f t="shared" si="13"/>
        <v>12.881312616060606</v>
      </c>
    </row>
    <row r="55" spans="1:10" x14ac:dyDescent="0.45">
      <c r="A55" s="12">
        <v>11</v>
      </c>
      <c r="B55" s="18">
        <f t="shared" si="9"/>
        <v>2.1499999999999998E-2</v>
      </c>
      <c r="C55" s="10">
        <f t="shared" si="10"/>
        <v>6.3123188374999861E-2</v>
      </c>
      <c r="D55" s="10">
        <f t="shared" si="11"/>
        <v>8.326603982493741E-2</v>
      </c>
      <c r="E55" s="14">
        <f t="shared" si="12"/>
        <v>8.5999999999999993E-2</v>
      </c>
      <c r="F55" s="14">
        <f t="shared" si="13"/>
        <v>12.009698096636383</v>
      </c>
    </row>
    <row r="56" spans="1:10" x14ac:dyDescent="0.45">
      <c r="A56" s="12">
        <v>12</v>
      </c>
      <c r="B56" s="18">
        <f t="shared" si="9"/>
        <v>2.3E-2</v>
      </c>
      <c r="C56" s="10">
        <f t="shared" si="10"/>
        <v>6.7425167000000008E-2</v>
      </c>
      <c r="D56" s="10">
        <f t="shared" si="11"/>
        <v>8.8874388159000062E-2</v>
      </c>
      <c r="E56" s="14">
        <f t="shared" si="12"/>
        <v>9.1999999999999998E-2</v>
      </c>
      <c r="F56" s="14">
        <f t="shared" si="13"/>
        <v>11.251835548065404</v>
      </c>
    </row>
    <row r="57" spans="1:10" x14ac:dyDescent="0.45">
      <c r="A57" s="2" t="s">
        <v>172</v>
      </c>
    </row>
    <row r="59" spans="1:10" x14ac:dyDescent="0.45">
      <c r="A59" s="3" t="s">
        <v>173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45">
      <c r="A60" s="6" t="s">
        <v>174</v>
      </c>
      <c r="B60" s="6" t="s">
        <v>175</v>
      </c>
      <c r="C60" s="6" t="s">
        <v>146</v>
      </c>
      <c r="D60" s="6" t="s">
        <v>143</v>
      </c>
      <c r="E60" s="6" t="s">
        <v>142</v>
      </c>
      <c r="F60" s="6" t="s">
        <v>141</v>
      </c>
      <c r="G60" s="6" t="s">
        <v>140</v>
      </c>
      <c r="H60" s="6" t="s">
        <v>176</v>
      </c>
      <c r="I60" s="6" t="s">
        <v>177</v>
      </c>
      <c r="J60" s="6" t="s">
        <v>178</v>
      </c>
    </row>
    <row r="61" spans="1:10" x14ac:dyDescent="0.45">
      <c r="A61" s="8" t="s">
        <v>179</v>
      </c>
      <c r="B61" s="8" t="s">
        <v>180</v>
      </c>
      <c r="C61" s="19">
        <v>5</v>
      </c>
      <c r="D61" s="19">
        <v>8</v>
      </c>
      <c r="E61" s="19">
        <v>10</v>
      </c>
      <c r="F61" s="19">
        <v>15</v>
      </c>
      <c r="G61" s="19">
        <v>20</v>
      </c>
      <c r="H61" s="19"/>
      <c r="I61" s="8" t="s">
        <v>181</v>
      </c>
      <c r="J61" s="15"/>
    </row>
    <row r="62" spans="1:10" x14ac:dyDescent="0.45">
      <c r="A62" s="8" t="s">
        <v>182</v>
      </c>
      <c r="B62" s="8" t="s">
        <v>183</v>
      </c>
      <c r="C62" s="19">
        <v>2</v>
      </c>
      <c r="D62" s="19">
        <v>3</v>
      </c>
      <c r="E62" s="19">
        <v>4</v>
      </c>
      <c r="F62" s="19">
        <v>6</v>
      </c>
      <c r="G62" s="19">
        <v>8</v>
      </c>
      <c r="H62" s="19"/>
      <c r="I62" s="8" t="s">
        <v>181</v>
      </c>
      <c r="J62" s="15"/>
    </row>
    <row r="63" spans="1:10" x14ac:dyDescent="0.45">
      <c r="A63" s="8" t="s">
        <v>184</v>
      </c>
      <c r="B63" s="8" t="s">
        <v>185</v>
      </c>
      <c r="C63" s="19">
        <v>1</v>
      </c>
      <c r="D63" s="19">
        <v>2</v>
      </c>
      <c r="E63" s="19">
        <v>3</v>
      </c>
      <c r="F63" s="19">
        <v>5</v>
      </c>
      <c r="G63" s="19">
        <v>7</v>
      </c>
      <c r="H63" s="19"/>
      <c r="I63" s="8" t="s">
        <v>181</v>
      </c>
      <c r="J63" s="15" t="s">
        <v>186</v>
      </c>
    </row>
    <row r="64" spans="1:10" x14ac:dyDescent="0.45">
      <c r="A64" s="8" t="s">
        <v>187</v>
      </c>
      <c r="B64" s="8" t="s">
        <v>188</v>
      </c>
      <c r="C64" s="19"/>
      <c r="D64" s="19"/>
      <c r="E64" s="19"/>
      <c r="F64" s="19"/>
      <c r="G64" s="19"/>
      <c r="H64" s="19">
        <v>1</v>
      </c>
      <c r="I64" s="8" t="s">
        <v>189</v>
      </c>
      <c r="J64" s="15"/>
    </row>
    <row r="65" spans="1:10" x14ac:dyDescent="0.45">
      <c r="A65" s="8" t="s">
        <v>190</v>
      </c>
      <c r="B65" s="8" t="s">
        <v>191</v>
      </c>
      <c r="C65" s="19">
        <v>1</v>
      </c>
      <c r="D65" s="19">
        <v>2</v>
      </c>
      <c r="E65" s="19">
        <v>3</v>
      </c>
      <c r="F65" s="19">
        <v>4</v>
      </c>
      <c r="G65" s="19">
        <v>5</v>
      </c>
      <c r="H65" s="19"/>
      <c r="I65" s="8" t="s">
        <v>181</v>
      </c>
      <c r="J65" s="15"/>
    </row>
    <row r="66" spans="1:10" x14ac:dyDescent="0.45">
      <c r="A66" s="8" t="s">
        <v>192</v>
      </c>
      <c r="B66" s="8" t="s">
        <v>193</v>
      </c>
      <c r="C66" s="19">
        <v>10</v>
      </c>
      <c r="D66" s="19">
        <v>20</v>
      </c>
      <c r="E66" s="19">
        <v>30</v>
      </c>
      <c r="F66" s="19">
        <v>40</v>
      </c>
      <c r="G66" s="19">
        <v>50</v>
      </c>
      <c r="H66" s="19"/>
      <c r="I66" s="8" t="s">
        <v>181</v>
      </c>
      <c r="J66" s="15"/>
    </row>
    <row r="67" spans="1:10" x14ac:dyDescent="0.45">
      <c r="A67" s="8" t="s">
        <v>194</v>
      </c>
      <c r="B67" s="8" t="s">
        <v>195</v>
      </c>
      <c r="C67" s="19"/>
      <c r="D67" s="19"/>
      <c r="E67" s="19"/>
      <c r="F67" s="19"/>
      <c r="G67" s="19"/>
      <c r="H67" s="19">
        <v>1</v>
      </c>
      <c r="I67" s="8" t="s">
        <v>189</v>
      </c>
      <c r="J67" s="15"/>
    </row>
    <row r="68" spans="1:10" x14ac:dyDescent="0.45">
      <c r="A68" s="8" t="s">
        <v>196</v>
      </c>
      <c r="B68" s="8" t="s">
        <v>197</v>
      </c>
      <c r="C68" s="19"/>
      <c r="D68" s="19"/>
      <c r="E68" s="19"/>
      <c r="F68" s="19"/>
      <c r="G68" s="19"/>
      <c r="H68" s="19"/>
      <c r="I68" s="8" t="s">
        <v>189</v>
      </c>
      <c r="J68" s="15"/>
    </row>
    <row r="69" spans="1:10" x14ac:dyDescent="0.45">
      <c r="A69" s="8" t="s">
        <v>198</v>
      </c>
      <c r="B69" s="8" t="s">
        <v>199</v>
      </c>
      <c r="C69" s="19"/>
      <c r="D69" s="19"/>
      <c r="E69" s="19"/>
      <c r="F69" s="19"/>
      <c r="G69" s="19"/>
      <c r="H69" s="19"/>
      <c r="I69" s="8" t="s">
        <v>189</v>
      </c>
      <c r="J69" s="15" t="s">
        <v>200</v>
      </c>
    </row>
    <row r="70" spans="1:10" x14ac:dyDescent="0.45">
      <c r="A70" s="2" t="s">
        <v>201</v>
      </c>
    </row>
    <row r="72" spans="1:10" x14ac:dyDescent="0.45">
      <c r="A72" s="3" t="s">
        <v>202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45">
      <c r="A73" s="2" t="s">
        <v>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1"/>
  <sheetViews>
    <sheetView showGridLines="0" workbookViewId="0"/>
  </sheetViews>
  <sheetFormatPr baseColWidth="10" defaultColWidth="9.06640625" defaultRowHeight="14.25" x14ac:dyDescent="0.45"/>
  <cols>
    <col min="1" max="1" width="30" customWidth="1"/>
    <col min="2" max="12" width="13" customWidth="1"/>
    <col min="13" max="13" width="40" customWidth="1"/>
  </cols>
  <sheetData>
    <row r="1" spans="1:13" ht="17.649999999999999" x14ac:dyDescent="0.5">
      <c r="A1" s="1" t="s">
        <v>204</v>
      </c>
    </row>
    <row r="2" spans="1:13" x14ac:dyDescent="0.45">
      <c r="A2" s="2" t="s">
        <v>205</v>
      </c>
    </row>
    <row r="4" spans="1:13" x14ac:dyDescent="0.45">
      <c r="A4" s="3" t="s">
        <v>206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45">
      <c r="A5" s="6" t="s">
        <v>137</v>
      </c>
      <c r="B5" s="6" t="s">
        <v>207</v>
      </c>
      <c r="C5" s="6" t="s">
        <v>24</v>
      </c>
    </row>
    <row r="6" spans="1:13" x14ac:dyDescent="0.45">
      <c r="A6" s="8" t="s">
        <v>146</v>
      </c>
      <c r="B6" s="12">
        <v>5</v>
      </c>
      <c r="C6" s="15" t="s">
        <v>208</v>
      </c>
    </row>
    <row r="7" spans="1:13" x14ac:dyDescent="0.45">
      <c r="A7" s="8" t="s">
        <v>143</v>
      </c>
      <c r="B7" s="12">
        <v>6</v>
      </c>
      <c r="C7" s="15" t="s">
        <v>209</v>
      </c>
    </row>
    <row r="8" spans="1:13" x14ac:dyDescent="0.45">
      <c r="A8" s="8" t="s">
        <v>142</v>
      </c>
      <c r="B8" s="12">
        <v>10</v>
      </c>
      <c r="C8" s="15" t="s">
        <v>210</v>
      </c>
    </row>
    <row r="9" spans="1:13" x14ac:dyDescent="0.45">
      <c r="A9" s="8" t="s">
        <v>141</v>
      </c>
      <c r="B9" s="12">
        <v>3</v>
      </c>
      <c r="C9" s="15" t="s">
        <v>211</v>
      </c>
    </row>
    <row r="10" spans="1:13" x14ac:dyDescent="0.45">
      <c r="A10" s="8" t="s">
        <v>140</v>
      </c>
      <c r="B10" s="12">
        <v>4</v>
      </c>
      <c r="C10" s="15" t="s">
        <v>212</v>
      </c>
    </row>
    <row r="11" spans="1:13" x14ac:dyDescent="0.45">
      <c r="A11" s="7" t="s">
        <v>58</v>
      </c>
      <c r="B11" s="20">
        <f>SUM(B6:B10)</f>
        <v>28</v>
      </c>
    </row>
    <row r="12" spans="1:13" x14ac:dyDescent="0.45">
      <c r="A12" s="2" t="s">
        <v>213</v>
      </c>
    </row>
    <row r="14" spans="1:13" x14ac:dyDescent="0.45">
      <c r="A14" s="3" t="s">
        <v>214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45">
      <c r="A15" s="2" t="s">
        <v>215</v>
      </c>
    </row>
    <row r="16" spans="1:13" x14ac:dyDescent="0.45">
      <c r="A16" s="6" t="s">
        <v>137</v>
      </c>
      <c r="B16" s="6" t="s">
        <v>138</v>
      </c>
      <c r="C16" s="6" t="s">
        <v>139</v>
      </c>
    </row>
    <row r="17" spans="1:11" x14ac:dyDescent="0.45">
      <c r="A17" s="8" t="s">
        <v>140</v>
      </c>
      <c r="B17" s="9">
        <v>1</v>
      </c>
      <c r="C17" s="9">
        <v>0.5</v>
      </c>
    </row>
    <row r="18" spans="1:11" x14ac:dyDescent="0.45">
      <c r="A18" s="8" t="s">
        <v>141</v>
      </c>
      <c r="B18" s="9">
        <v>5</v>
      </c>
      <c r="C18" s="9">
        <v>1</v>
      </c>
    </row>
    <row r="19" spans="1:11" x14ac:dyDescent="0.45">
      <c r="A19" s="8" t="s">
        <v>142</v>
      </c>
      <c r="B19" s="9">
        <v>14</v>
      </c>
      <c r="C19" s="9">
        <v>2</v>
      </c>
    </row>
    <row r="20" spans="1:11" x14ac:dyDescent="0.45">
      <c r="A20" s="8" t="s">
        <v>143</v>
      </c>
      <c r="B20" s="9">
        <v>20</v>
      </c>
      <c r="C20" s="9">
        <v>3</v>
      </c>
    </row>
    <row r="21" spans="1:11" x14ac:dyDescent="0.45">
      <c r="A21" s="6" t="s">
        <v>145</v>
      </c>
      <c r="B21" s="6" t="s">
        <v>140</v>
      </c>
      <c r="C21" s="6" t="s">
        <v>141</v>
      </c>
      <c r="D21" s="6" t="s">
        <v>142</v>
      </c>
      <c r="E21" s="6" t="s">
        <v>143</v>
      </c>
      <c r="F21" s="6" t="s">
        <v>146</v>
      </c>
      <c r="G21" s="6" t="s">
        <v>216</v>
      </c>
      <c r="H21" s="6" t="s">
        <v>217</v>
      </c>
      <c r="I21" s="6" t="s">
        <v>218</v>
      </c>
      <c r="J21" s="6" t="s">
        <v>219</v>
      </c>
      <c r="K21" s="6" t="s">
        <v>220</v>
      </c>
    </row>
    <row r="22" spans="1:11" x14ac:dyDescent="0.45">
      <c r="A22" s="12">
        <v>0</v>
      </c>
      <c r="B22" s="10">
        <f t="shared" ref="B22:B34" si="0">MIN(100,$B$17+$C$17*A22)/100</f>
        <v>0.01</v>
      </c>
      <c r="C22" s="10">
        <f t="shared" ref="C22:C34" si="1">(MIN(100,$B$17+$C$17*A22+$B$18+$C$18*A22)-MIN(100,$B$17+$C$17*A22))/100</f>
        <v>0.05</v>
      </c>
      <c r="D22" s="10">
        <f t="shared" ref="D22:D34" si="2">(MIN(100,$B$17+$C$17*A22+$B$18+$C$18*A22+$B$19+$C$19*A22)-MIN(100,$B$17+$C$17*A22+$B$18+$C$18*A22))/100</f>
        <v>0.14000000000000001</v>
      </c>
      <c r="E22" s="10">
        <f t="shared" ref="E22:E34" si="3">(MIN(100,$B$17+$C$17*A22+$B$18+$C$18*A22+$B$19+$C$19*A22+$B$20+$C$20*A22)-MIN(100,$B$17+$C$17*A22+$B$18+$C$18*A22+$B$19+$C$19*A22))/100</f>
        <v>0.2</v>
      </c>
      <c r="F22" s="10">
        <f t="shared" ref="F22:F34" si="4">1-MIN(100,$B$17+$C$17*A22+$B$18+$C$18*A22+$B$19+$C$19*A22+$B$20+$C$20*A22)/100</f>
        <v>0.6</v>
      </c>
      <c r="G22" s="18">
        <f t="shared" ref="G22:G34" si="5">B22/$B$10</f>
        <v>2.5000000000000001E-3</v>
      </c>
      <c r="H22" s="18">
        <f t="shared" ref="H22:H34" si="6">C22/$B$9</f>
        <v>1.6666666666666666E-2</v>
      </c>
      <c r="I22" s="18">
        <f t="shared" ref="I22:I34" si="7">D22/$B$8</f>
        <v>1.4000000000000002E-2</v>
      </c>
      <c r="J22" s="18">
        <f t="shared" ref="J22:J34" si="8">E22/$B$7</f>
        <v>3.3333333333333333E-2</v>
      </c>
      <c r="K22" s="18">
        <f t="shared" ref="K22:K34" si="9">F22/$B$6</f>
        <v>0.12</v>
      </c>
    </row>
    <row r="23" spans="1:11" x14ac:dyDescent="0.45">
      <c r="A23" s="12">
        <v>1</v>
      </c>
      <c r="B23" s="10">
        <f t="shared" si="0"/>
        <v>1.4999999999999999E-2</v>
      </c>
      <c r="C23" s="10">
        <f t="shared" si="1"/>
        <v>0.06</v>
      </c>
      <c r="D23" s="10">
        <f t="shared" si="2"/>
        <v>0.16</v>
      </c>
      <c r="E23" s="10">
        <f t="shared" si="3"/>
        <v>0.23</v>
      </c>
      <c r="F23" s="10">
        <f t="shared" si="4"/>
        <v>0.53499999999999992</v>
      </c>
      <c r="G23" s="18">
        <f t="shared" si="5"/>
        <v>3.7499999999999999E-3</v>
      </c>
      <c r="H23" s="18">
        <f t="shared" si="6"/>
        <v>0.02</v>
      </c>
      <c r="I23" s="18">
        <f t="shared" si="7"/>
        <v>1.6E-2</v>
      </c>
      <c r="J23" s="18">
        <f t="shared" si="8"/>
        <v>3.8333333333333337E-2</v>
      </c>
      <c r="K23" s="18">
        <f t="shared" si="9"/>
        <v>0.10699999999999998</v>
      </c>
    </row>
    <row r="24" spans="1:11" x14ac:dyDescent="0.45">
      <c r="A24" s="12">
        <v>2</v>
      </c>
      <c r="B24" s="10">
        <f t="shared" si="0"/>
        <v>0.02</v>
      </c>
      <c r="C24" s="10">
        <f t="shared" si="1"/>
        <v>7.0000000000000007E-2</v>
      </c>
      <c r="D24" s="10">
        <f t="shared" si="2"/>
        <v>0.18</v>
      </c>
      <c r="E24" s="10">
        <f t="shared" si="3"/>
        <v>0.26</v>
      </c>
      <c r="F24" s="10">
        <f t="shared" si="4"/>
        <v>0.47</v>
      </c>
      <c r="G24" s="18">
        <f t="shared" si="5"/>
        <v>5.0000000000000001E-3</v>
      </c>
      <c r="H24" s="18">
        <f t="shared" si="6"/>
        <v>2.3333333333333334E-2</v>
      </c>
      <c r="I24" s="18">
        <f t="shared" si="7"/>
        <v>1.7999999999999999E-2</v>
      </c>
      <c r="J24" s="18">
        <f t="shared" si="8"/>
        <v>4.3333333333333335E-2</v>
      </c>
      <c r="K24" s="18">
        <f t="shared" si="9"/>
        <v>9.4E-2</v>
      </c>
    </row>
    <row r="25" spans="1:11" x14ac:dyDescent="0.45">
      <c r="A25" s="12">
        <v>3</v>
      </c>
      <c r="B25" s="10">
        <f t="shared" si="0"/>
        <v>2.5000000000000001E-2</v>
      </c>
      <c r="C25" s="10">
        <f t="shared" si="1"/>
        <v>0.08</v>
      </c>
      <c r="D25" s="10">
        <f t="shared" si="2"/>
        <v>0.2</v>
      </c>
      <c r="E25" s="10">
        <f t="shared" si="3"/>
        <v>0.28999999999999998</v>
      </c>
      <c r="F25" s="10">
        <f t="shared" si="4"/>
        <v>0.40500000000000003</v>
      </c>
      <c r="G25" s="18">
        <f t="shared" si="5"/>
        <v>6.2500000000000003E-3</v>
      </c>
      <c r="H25" s="18">
        <f t="shared" si="6"/>
        <v>2.6666666666666668E-2</v>
      </c>
      <c r="I25" s="18">
        <f t="shared" si="7"/>
        <v>0.02</v>
      </c>
      <c r="J25" s="18">
        <f t="shared" si="8"/>
        <v>4.8333333333333332E-2</v>
      </c>
      <c r="K25" s="18">
        <f t="shared" si="9"/>
        <v>8.1000000000000003E-2</v>
      </c>
    </row>
    <row r="26" spans="1:11" x14ac:dyDescent="0.45">
      <c r="A26" s="12">
        <v>4</v>
      </c>
      <c r="B26" s="10">
        <f t="shared" si="0"/>
        <v>0.03</v>
      </c>
      <c r="C26" s="10">
        <f t="shared" si="1"/>
        <v>0.09</v>
      </c>
      <c r="D26" s="10">
        <f t="shared" si="2"/>
        <v>0.22</v>
      </c>
      <c r="E26" s="10">
        <f t="shared" si="3"/>
        <v>0.32</v>
      </c>
      <c r="F26" s="10">
        <f t="shared" si="4"/>
        <v>0.33999999999999997</v>
      </c>
      <c r="G26" s="18">
        <f t="shared" si="5"/>
        <v>7.4999999999999997E-3</v>
      </c>
      <c r="H26" s="18">
        <f t="shared" si="6"/>
        <v>0.03</v>
      </c>
      <c r="I26" s="18">
        <f t="shared" si="7"/>
        <v>2.1999999999999999E-2</v>
      </c>
      <c r="J26" s="18">
        <f t="shared" si="8"/>
        <v>5.3333333333333337E-2</v>
      </c>
      <c r="K26" s="18">
        <f t="shared" si="9"/>
        <v>6.7999999999999991E-2</v>
      </c>
    </row>
    <row r="27" spans="1:11" x14ac:dyDescent="0.45">
      <c r="A27" s="12">
        <v>5</v>
      </c>
      <c r="B27" s="10">
        <f t="shared" si="0"/>
        <v>3.5000000000000003E-2</v>
      </c>
      <c r="C27" s="10">
        <f t="shared" si="1"/>
        <v>0.1</v>
      </c>
      <c r="D27" s="10">
        <f t="shared" si="2"/>
        <v>0.24</v>
      </c>
      <c r="E27" s="10">
        <f t="shared" si="3"/>
        <v>0.35</v>
      </c>
      <c r="F27" s="10">
        <f t="shared" si="4"/>
        <v>0.27500000000000002</v>
      </c>
      <c r="G27" s="18">
        <f t="shared" si="5"/>
        <v>8.7500000000000008E-3</v>
      </c>
      <c r="H27" s="18">
        <f t="shared" si="6"/>
        <v>3.3333333333333333E-2</v>
      </c>
      <c r="I27" s="18">
        <f t="shared" si="7"/>
        <v>2.4E-2</v>
      </c>
      <c r="J27" s="18">
        <f t="shared" si="8"/>
        <v>5.8333333333333327E-2</v>
      </c>
      <c r="K27" s="18">
        <f t="shared" si="9"/>
        <v>5.5000000000000007E-2</v>
      </c>
    </row>
    <row r="28" spans="1:11" x14ac:dyDescent="0.45">
      <c r="A28" s="12">
        <v>6</v>
      </c>
      <c r="B28" s="10">
        <f t="shared" si="0"/>
        <v>0.04</v>
      </c>
      <c r="C28" s="10">
        <f t="shared" si="1"/>
        <v>0.11</v>
      </c>
      <c r="D28" s="10">
        <f t="shared" si="2"/>
        <v>0.26</v>
      </c>
      <c r="E28" s="10">
        <f t="shared" si="3"/>
        <v>0.38</v>
      </c>
      <c r="F28" s="10">
        <f t="shared" si="4"/>
        <v>0.20999999999999996</v>
      </c>
      <c r="G28" s="18">
        <f t="shared" si="5"/>
        <v>0.01</v>
      </c>
      <c r="H28" s="18">
        <f t="shared" si="6"/>
        <v>3.6666666666666667E-2</v>
      </c>
      <c r="I28" s="18">
        <f t="shared" si="7"/>
        <v>2.6000000000000002E-2</v>
      </c>
      <c r="J28" s="18">
        <f t="shared" si="8"/>
        <v>6.3333333333333339E-2</v>
      </c>
      <c r="K28" s="18">
        <f t="shared" si="9"/>
        <v>4.1999999999999996E-2</v>
      </c>
    </row>
    <row r="29" spans="1:11" x14ac:dyDescent="0.45">
      <c r="A29" s="12">
        <v>7</v>
      </c>
      <c r="B29" s="10">
        <f t="shared" si="0"/>
        <v>4.4999999999999998E-2</v>
      </c>
      <c r="C29" s="10">
        <f t="shared" si="1"/>
        <v>0.12</v>
      </c>
      <c r="D29" s="10">
        <f t="shared" si="2"/>
        <v>0.28000000000000003</v>
      </c>
      <c r="E29" s="10">
        <f t="shared" si="3"/>
        <v>0.41</v>
      </c>
      <c r="F29" s="10">
        <f t="shared" si="4"/>
        <v>0.14500000000000002</v>
      </c>
      <c r="G29" s="18">
        <f t="shared" si="5"/>
        <v>1.125E-2</v>
      </c>
      <c r="H29" s="18">
        <f t="shared" si="6"/>
        <v>0.04</v>
      </c>
      <c r="I29" s="18">
        <f t="shared" si="7"/>
        <v>2.8000000000000004E-2</v>
      </c>
      <c r="J29" s="18">
        <f t="shared" si="8"/>
        <v>6.8333333333333329E-2</v>
      </c>
      <c r="K29" s="18">
        <f t="shared" si="9"/>
        <v>2.9000000000000005E-2</v>
      </c>
    </row>
    <row r="30" spans="1:11" x14ac:dyDescent="0.45">
      <c r="A30" s="12">
        <v>8</v>
      </c>
      <c r="B30" s="10">
        <f t="shared" si="0"/>
        <v>0.05</v>
      </c>
      <c r="C30" s="10">
        <f t="shared" si="1"/>
        <v>0.13</v>
      </c>
      <c r="D30" s="10">
        <f t="shared" si="2"/>
        <v>0.3</v>
      </c>
      <c r="E30" s="10">
        <f t="shared" si="3"/>
        <v>0.44</v>
      </c>
      <c r="F30" s="10">
        <f t="shared" si="4"/>
        <v>7.999999999999996E-2</v>
      </c>
      <c r="G30" s="18">
        <f t="shared" si="5"/>
        <v>1.2500000000000001E-2</v>
      </c>
      <c r="H30" s="18">
        <f t="shared" si="6"/>
        <v>4.3333333333333335E-2</v>
      </c>
      <c r="I30" s="18">
        <f t="shared" si="7"/>
        <v>0.03</v>
      </c>
      <c r="J30" s="18">
        <f t="shared" si="8"/>
        <v>7.3333333333333334E-2</v>
      </c>
      <c r="K30" s="18">
        <f t="shared" si="9"/>
        <v>1.5999999999999993E-2</v>
      </c>
    </row>
    <row r="31" spans="1:11" x14ac:dyDescent="0.45">
      <c r="A31" s="12">
        <v>9</v>
      </c>
      <c r="B31" s="10">
        <f t="shared" si="0"/>
        <v>5.5E-2</v>
      </c>
      <c r="C31" s="10">
        <f t="shared" si="1"/>
        <v>0.14000000000000001</v>
      </c>
      <c r="D31" s="10">
        <f t="shared" si="2"/>
        <v>0.32</v>
      </c>
      <c r="E31" s="10">
        <f t="shared" si="3"/>
        <v>0.47</v>
      </c>
      <c r="F31" s="10">
        <f t="shared" si="4"/>
        <v>1.5000000000000013E-2</v>
      </c>
      <c r="G31" s="18">
        <f t="shared" si="5"/>
        <v>1.375E-2</v>
      </c>
      <c r="H31" s="18">
        <f t="shared" si="6"/>
        <v>4.6666666666666669E-2</v>
      </c>
      <c r="I31" s="18">
        <f t="shared" si="7"/>
        <v>3.2000000000000001E-2</v>
      </c>
      <c r="J31" s="18">
        <f t="shared" si="8"/>
        <v>7.8333333333333324E-2</v>
      </c>
      <c r="K31" s="18">
        <f t="shared" si="9"/>
        <v>3.0000000000000027E-3</v>
      </c>
    </row>
    <row r="32" spans="1:11" x14ac:dyDescent="0.45">
      <c r="A32" s="12">
        <v>10</v>
      </c>
      <c r="B32" s="10">
        <f t="shared" si="0"/>
        <v>0.06</v>
      </c>
      <c r="C32" s="10">
        <f t="shared" si="1"/>
        <v>0.15</v>
      </c>
      <c r="D32" s="10">
        <f t="shared" si="2"/>
        <v>0.34</v>
      </c>
      <c r="E32" s="10">
        <f t="shared" si="3"/>
        <v>0.45</v>
      </c>
      <c r="F32" s="10">
        <f t="shared" si="4"/>
        <v>0</v>
      </c>
      <c r="G32" s="18">
        <f t="shared" si="5"/>
        <v>1.4999999999999999E-2</v>
      </c>
      <c r="H32" s="18">
        <f t="shared" si="6"/>
        <v>4.9999999999999996E-2</v>
      </c>
      <c r="I32" s="18">
        <f t="shared" si="7"/>
        <v>3.4000000000000002E-2</v>
      </c>
      <c r="J32" s="18">
        <f t="shared" si="8"/>
        <v>7.4999999999999997E-2</v>
      </c>
      <c r="K32" s="18">
        <f t="shared" si="9"/>
        <v>0</v>
      </c>
    </row>
    <row r="33" spans="1:13" x14ac:dyDescent="0.45">
      <c r="A33" s="12">
        <v>11</v>
      </c>
      <c r="B33" s="10">
        <f t="shared" si="0"/>
        <v>6.5000000000000002E-2</v>
      </c>
      <c r="C33" s="10">
        <f t="shared" si="1"/>
        <v>0.16</v>
      </c>
      <c r="D33" s="10">
        <f t="shared" si="2"/>
        <v>0.36</v>
      </c>
      <c r="E33" s="10">
        <f t="shared" si="3"/>
        <v>0.41499999999999998</v>
      </c>
      <c r="F33" s="10">
        <f t="shared" si="4"/>
        <v>0</v>
      </c>
      <c r="G33" s="18">
        <f t="shared" si="5"/>
        <v>1.6250000000000001E-2</v>
      </c>
      <c r="H33" s="18">
        <f t="shared" si="6"/>
        <v>5.3333333333333337E-2</v>
      </c>
      <c r="I33" s="18">
        <f t="shared" si="7"/>
        <v>3.5999999999999997E-2</v>
      </c>
      <c r="J33" s="18">
        <f t="shared" si="8"/>
        <v>6.9166666666666668E-2</v>
      </c>
      <c r="K33" s="18">
        <f t="shared" si="9"/>
        <v>0</v>
      </c>
    </row>
    <row r="34" spans="1:13" x14ac:dyDescent="0.45">
      <c r="A34" s="12">
        <v>12</v>
      </c>
      <c r="B34" s="10">
        <f t="shared" si="0"/>
        <v>7.0000000000000007E-2</v>
      </c>
      <c r="C34" s="10">
        <f t="shared" si="1"/>
        <v>0.17</v>
      </c>
      <c r="D34" s="10">
        <f t="shared" si="2"/>
        <v>0.38</v>
      </c>
      <c r="E34" s="10">
        <f t="shared" si="3"/>
        <v>0.38</v>
      </c>
      <c r="F34" s="10">
        <f t="shared" si="4"/>
        <v>0</v>
      </c>
      <c r="G34" s="18">
        <f t="shared" si="5"/>
        <v>1.7500000000000002E-2</v>
      </c>
      <c r="H34" s="18">
        <f t="shared" si="6"/>
        <v>5.6666666666666671E-2</v>
      </c>
      <c r="I34" s="18">
        <f t="shared" si="7"/>
        <v>3.7999999999999999E-2</v>
      </c>
      <c r="J34" s="18">
        <f t="shared" si="8"/>
        <v>6.3333333333333339E-2</v>
      </c>
      <c r="K34" s="18">
        <f t="shared" si="9"/>
        <v>0</v>
      </c>
    </row>
    <row r="35" spans="1:13" x14ac:dyDescent="0.45">
      <c r="A35" s="2" t="s">
        <v>221</v>
      </c>
    </row>
    <row r="37" spans="1:13" x14ac:dyDescent="0.45">
      <c r="A37" s="3" t="s">
        <v>222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45">
      <c r="A38" s="2" t="s">
        <v>223</v>
      </c>
    </row>
    <row r="39" spans="1:13" x14ac:dyDescent="0.45">
      <c r="A39" s="21" t="s">
        <v>224</v>
      </c>
    </row>
    <row r="40" spans="1:13" x14ac:dyDescent="0.45">
      <c r="A40" s="5" t="s">
        <v>225</v>
      </c>
      <c r="B40" s="22">
        <v>0</v>
      </c>
    </row>
    <row r="41" spans="1:13" x14ac:dyDescent="0.45">
      <c r="A41" s="6" t="s">
        <v>122</v>
      </c>
      <c r="B41" s="6" t="s">
        <v>226</v>
      </c>
      <c r="C41" s="6" t="s">
        <v>227</v>
      </c>
      <c r="D41" s="6" t="s">
        <v>228</v>
      </c>
      <c r="E41" s="6" t="s">
        <v>229</v>
      </c>
      <c r="F41" s="6" t="s">
        <v>230</v>
      </c>
      <c r="G41" s="6" t="s">
        <v>231</v>
      </c>
      <c r="H41" s="6" t="s">
        <v>232</v>
      </c>
      <c r="I41" s="6" t="s">
        <v>233</v>
      </c>
      <c r="J41" s="6" t="s">
        <v>234</v>
      </c>
      <c r="K41" s="6" t="s">
        <v>235</v>
      </c>
      <c r="L41" s="6" t="s">
        <v>236</v>
      </c>
      <c r="M41" s="6" t="s">
        <v>237</v>
      </c>
    </row>
    <row r="42" spans="1:13" x14ac:dyDescent="0.45">
      <c r="A42" s="12">
        <v>1</v>
      </c>
      <c r="B42" s="14">
        <f t="shared" ref="B42:B53" si="10">MAX(0,40-(A42-1)*10)</f>
        <v>40</v>
      </c>
      <c r="C42" s="14">
        <f t="shared" ref="C42:C53" si="11">IF(B42&gt;0,0,MAX(0,20/85*90-(A42-5)*10))</f>
        <v>0</v>
      </c>
      <c r="D42" s="14">
        <f t="shared" ref="D42:D53" si="12">10+0.5*$B$40</f>
        <v>10</v>
      </c>
      <c r="E42" s="14">
        <f t="shared" ref="E42:E53" si="13">IF(B42&gt;0,30/85*(90-B42)+$B$40,IF(C42&gt;0,30/65*(90-C42)+$B$40,30/65*90+$B$40))</f>
        <v>17.647058823529413</v>
      </c>
      <c r="F42" s="14">
        <f t="shared" ref="F42:F53" si="14">IF(B42&gt;0,35/85*(90-B42)+2*$B$40,IF(C42&gt;0,35/65*(90-C42)+2*$B$40,35/65*90+2*$B$40))</f>
        <v>20.588235294117645</v>
      </c>
      <c r="G42" s="14">
        <f t="shared" ref="G42:G53" si="15">IF(B42&gt;0,20/85*(90-B42)+3*$B$40,IF(C42&gt;0,C42+3*$B$40,0))</f>
        <v>11.76470588235294</v>
      </c>
      <c r="H42" s="10">
        <f t="shared" ref="H42:H53" si="16">MIN(D42,100)/100</f>
        <v>0.1</v>
      </c>
      <c r="I42" s="10">
        <f t="shared" ref="I42:I53" si="17">(MIN(D42+E42,100)-MIN(D42,100))/100</f>
        <v>0.17647058823529413</v>
      </c>
      <c r="J42" s="10">
        <f t="shared" ref="J42:J53" si="18">(MIN(D42+E42+F42,100)-MIN(D42+E42,100))/100</f>
        <v>0.20588235294117646</v>
      </c>
      <c r="K42" s="10">
        <f t="shared" ref="K42:K53" si="19">(MIN(D42+E42+F42+G42,100)-MIN(D42+E42+F42,100))/100</f>
        <v>0.11764705882352942</v>
      </c>
      <c r="L42" s="10">
        <f t="shared" ref="L42:L53" si="20">1-MIN(D42+E42+F42+G42,100)/100</f>
        <v>0.4</v>
      </c>
      <c r="M42" s="10">
        <f t="shared" ref="M42:M53" si="21">SUM(H42:L42)</f>
        <v>1</v>
      </c>
    </row>
    <row r="43" spans="1:13" x14ac:dyDescent="0.45">
      <c r="A43" s="12">
        <v>2</v>
      </c>
      <c r="B43" s="14">
        <f t="shared" si="10"/>
        <v>30</v>
      </c>
      <c r="C43" s="14">
        <f t="shared" si="11"/>
        <v>0</v>
      </c>
      <c r="D43" s="14">
        <f t="shared" si="12"/>
        <v>10</v>
      </c>
      <c r="E43" s="14">
        <f t="shared" si="13"/>
        <v>21.176470588235297</v>
      </c>
      <c r="F43" s="14">
        <f t="shared" si="14"/>
        <v>24.705882352941174</v>
      </c>
      <c r="G43" s="14">
        <f t="shared" si="15"/>
        <v>14.117647058823529</v>
      </c>
      <c r="H43" s="10">
        <f t="shared" si="16"/>
        <v>0.1</v>
      </c>
      <c r="I43" s="10">
        <f t="shared" si="17"/>
        <v>0.21176470588235297</v>
      </c>
      <c r="J43" s="10">
        <f t="shared" si="18"/>
        <v>0.24705882352941175</v>
      </c>
      <c r="K43" s="10">
        <f t="shared" si="19"/>
        <v>0.14117647058823529</v>
      </c>
      <c r="L43" s="10">
        <f t="shared" si="20"/>
        <v>0.30000000000000004</v>
      </c>
      <c r="M43" s="10">
        <f t="shared" si="21"/>
        <v>1</v>
      </c>
    </row>
    <row r="44" spans="1:13" x14ac:dyDescent="0.45">
      <c r="A44" s="12">
        <v>3</v>
      </c>
      <c r="B44" s="14">
        <f t="shared" si="10"/>
        <v>20</v>
      </c>
      <c r="C44" s="14">
        <f t="shared" si="11"/>
        <v>0</v>
      </c>
      <c r="D44" s="14">
        <f t="shared" si="12"/>
        <v>10</v>
      </c>
      <c r="E44" s="14">
        <f t="shared" si="13"/>
        <v>24.705882352941178</v>
      </c>
      <c r="F44" s="14">
        <f t="shared" si="14"/>
        <v>28.823529411764703</v>
      </c>
      <c r="G44" s="14">
        <f t="shared" si="15"/>
        <v>16.470588235294116</v>
      </c>
      <c r="H44" s="10">
        <f t="shared" si="16"/>
        <v>0.1</v>
      </c>
      <c r="I44" s="10">
        <f t="shared" si="17"/>
        <v>0.24705882352941175</v>
      </c>
      <c r="J44" s="10">
        <f t="shared" si="18"/>
        <v>0.28823529411764703</v>
      </c>
      <c r="K44" s="10">
        <f t="shared" si="19"/>
        <v>0.16470588235294123</v>
      </c>
      <c r="L44" s="10">
        <f t="shared" si="20"/>
        <v>0.19999999999999996</v>
      </c>
      <c r="M44" s="10">
        <f t="shared" si="21"/>
        <v>1</v>
      </c>
    </row>
    <row r="45" spans="1:13" x14ac:dyDescent="0.45">
      <c r="A45" s="12">
        <v>4</v>
      </c>
      <c r="B45" s="14">
        <f t="shared" si="10"/>
        <v>10</v>
      </c>
      <c r="C45" s="14">
        <f t="shared" si="11"/>
        <v>0</v>
      </c>
      <c r="D45" s="14">
        <f t="shared" si="12"/>
        <v>10</v>
      </c>
      <c r="E45" s="14">
        <f t="shared" si="13"/>
        <v>28.235294117647062</v>
      </c>
      <c r="F45" s="14">
        <f t="shared" si="14"/>
        <v>32.941176470588232</v>
      </c>
      <c r="G45" s="14">
        <f t="shared" si="15"/>
        <v>18.823529411764707</v>
      </c>
      <c r="H45" s="10">
        <f t="shared" si="16"/>
        <v>0.1</v>
      </c>
      <c r="I45" s="10">
        <f t="shared" si="17"/>
        <v>0.28235294117647058</v>
      </c>
      <c r="J45" s="10">
        <f t="shared" si="18"/>
        <v>0.32941176470588229</v>
      </c>
      <c r="K45" s="10">
        <f t="shared" si="19"/>
        <v>0.18823529411764711</v>
      </c>
      <c r="L45" s="10">
        <f t="shared" si="20"/>
        <v>9.9999999999999978E-2</v>
      </c>
      <c r="M45" s="10">
        <f t="shared" si="21"/>
        <v>0.99999999999999989</v>
      </c>
    </row>
    <row r="46" spans="1:13" x14ac:dyDescent="0.45">
      <c r="A46" s="12">
        <v>5</v>
      </c>
      <c r="B46" s="14">
        <f t="shared" si="10"/>
        <v>0</v>
      </c>
      <c r="C46" s="14">
        <f t="shared" si="11"/>
        <v>21.176470588235293</v>
      </c>
      <c r="D46" s="14">
        <f t="shared" si="12"/>
        <v>10</v>
      </c>
      <c r="E46" s="14">
        <f t="shared" si="13"/>
        <v>31.764705882352946</v>
      </c>
      <c r="F46" s="14">
        <f t="shared" si="14"/>
        <v>37.058823529411768</v>
      </c>
      <c r="G46" s="14">
        <f t="shared" si="15"/>
        <v>21.176470588235293</v>
      </c>
      <c r="H46" s="10">
        <f t="shared" si="16"/>
        <v>0.1</v>
      </c>
      <c r="I46" s="10">
        <f t="shared" si="17"/>
        <v>0.31764705882352939</v>
      </c>
      <c r="J46" s="10">
        <f t="shared" si="18"/>
        <v>0.37058823529411766</v>
      </c>
      <c r="K46" s="10">
        <f t="shared" si="19"/>
        <v>0.21176470588235291</v>
      </c>
      <c r="L46" s="10">
        <f t="shared" si="20"/>
        <v>0</v>
      </c>
      <c r="M46" s="10">
        <f t="shared" si="21"/>
        <v>1</v>
      </c>
    </row>
    <row r="47" spans="1:13" x14ac:dyDescent="0.45">
      <c r="A47" s="12">
        <v>6</v>
      </c>
      <c r="B47" s="14">
        <f t="shared" si="10"/>
        <v>0</v>
      </c>
      <c r="C47" s="14">
        <f t="shared" si="11"/>
        <v>11.176470588235293</v>
      </c>
      <c r="D47" s="14">
        <f t="shared" si="12"/>
        <v>10</v>
      </c>
      <c r="E47" s="14">
        <f t="shared" si="13"/>
        <v>36.380090497737562</v>
      </c>
      <c r="F47" s="14">
        <f t="shared" si="14"/>
        <v>42.443438914027148</v>
      </c>
      <c r="G47" s="14">
        <f t="shared" si="15"/>
        <v>11.176470588235293</v>
      </c>
      <c r="H47" s="10">
        <f t="shared" si="16"/>
        <v>0.1</v>
      </c>
      <c r="I47" s="10">
        <f t="shared" si="17"/>
        <v>0.36380090497737561</v>
      </c>
      <c r="J47" s="10">
        <f t="shared" si="18"/>
        <v>0.42443438914027148</v>
      </c>
      <c r="K47" s="10">
        <f t="shared" si="19"/>
        <v>0.1117647058823529</v>
      </c>
      <c r="L47" s="10">
        <f t="shared" si="20"/>
        <v>0</v>
      </c>
      <c r="M47" s="10">
        <f t="shared" si="21"/>
        <v>0.99999999999999989</v>
      </c>
    </row>
    <row r="48" spans="1:13" x14ac:dyDescent="0.45">
      <c r="A48" s="12">
        <v>7</v>
      </c>
      <c r="B48" s="14">
        <f t="shared" si="10"/>
        <v>0</v>
      </c>
      <c r="C48" s="14">
        <f t="shared" si="11"/>
        <v>1.1764705882352935</v>
      </c>
      <c r="D48" s="14">
        <f t="shared" si="12"/>
        <v>10</v>
      </c>
      <c r="E48" s="14">
        <f t="shared" si="13"/>
        <v>40.995475113122176</v>
      </c>
      <c r="F48" s="14">
        <f t="shared" si="14"/>
        <v>47.828054298642535</v>
      </c>
      <c r="G48" s="14">
        <f t="shared" si="15"/>
        <v>1.1764705882352935</v>
      </c>
      <c r="H48" s="10">
        <f t="shared" si="16"/>
        <v>0.1</v>
      </c>
      <c r="I48" s="10">
        <f t="shared" si="17"/>
        <v>0.40995475113122176</v>
      </c>
      <c r="J48" s="10">
        <f t="shared" si="18"/>
        <v>0.47828054298642536</v>
      </c>
      <c r="K48" s="10">
        <f t="shared" si="19"/>
        <v>1.1764705882352899E-2</v>
      </c>
      <c r="L48" s="10">
        <f t="shared" si="20"/>
        <v>0</v>
      </c>
      <c r="M48" s="10">
        <f t="shared" si="21"/>
        <v>1</v>
      </c>
    </row>
    <row r="49" spans="1:13" x14ac:dyDescent="0.45">
      <c r="A49" s="12">
        <v>8</v>
      </c>
      <c r="B49" s="14">
        <f t="shared" si="10"/>
        <v>0</v>
      </c>
      <c r="C49" s="14">
        <f t="shared" si="11"/>
        <v>0</v>
      </c>
      <c r="D49" s="14">
        <f t="shared" si="12"/>
        <v>10</v>
      </c>
      <c r="E49" s="14">
        <f t="shared" si="13"/>
        <v>41.53846153846154</v>
      </c>
      <c r="F49" s="14">
        <f t="shared" si="14"/>
        <v>48.46153846153846</v>
      </c>
      <c r="G49" s="14">
        <f t="shared" si="15"/>
        <v>0</v>
      </c>
      <c r="H49" s="10">
        <f t="shared" si="16"/>
        <v>0.1</v>
      </c>
      <c r="I49" s="10">
        <f t="shared" si="17"/>
        <v>0.41538461538461541</v>
      </c>
      <c r="J49" s="10">
        <f t="shared" si="18"/>
        <v>0.48461538461538461</v>
      </c>
      <c r="K49" s="10">
        <f t="shared" si="19"/>
        <v>0</v>
      </c>
      <c r="L49" s="10">
        <f t="shared" si="20"/>
        <v>0</v>
      </c>
      <c r="M49" s="10">
        <f t="shared" si="21"/>
        <v>1</v>
      </c>
    </row>
    <row r="50" spans="1:13" x14ac:dyDescent="0.45">
      <c r="A50" s="12">
        <v>9</v>
      </c>
      <c r="B50" s="14">
        <f t="shared" si="10"/>
        <v>0</v>
      </c>
      <c r="C50" s="14">
        <f t="shared" si="11"/>
        <v>0</v>
      </c>
      <c r="D50" s="14">
        <f t="shared" si="12"/>
        <v>10</v>
      </c>
      <c r="E50" s="14">
        <f t="shared" si="13"/>
        <v>41.53846153846154</v>
      </c>
      <c r="F50" s="14">
        <f t="shared" si="14"/>
        <v>48.46153846153846</v>
      </c>
      <c r="G50" s="14">
        <f t="shared" si="15"/>
        <v>0</v>
      </c>
      <c r="H50" s="10">
        <f t="shared" si="16"/>
        <v>0.1</v>
      </c>
      <c r="I50" s="10">
        <f t="shared" si="17"/>
        <v>0.41538461538461541</v>
      </c>
      <c r="J50" s="10">
        <f t="shared" si="18"/>
        <v>0.48461538461538461</v>
      </c>
      <c r="K50" s="10">
        <f t="shared" si="19"/>
        <v>0</v>
      </c>
      <c r="L50" s="10">
        <f t="shared" si="20"/>
        <v>0</v>
      </c>
      <c r="M50" s="10">
        <f t="shared" si="21"/>
        <v>1</v>
      </c>
    </row>
    <row r="51" spans="1:13" x14ac:dyDescent="0.45">
      <c r="A51" s="12">
        <v>10</v>
      </c>
      <c r="B51" s="14">
        <f t="shared" si="10"/>
        <v>0</v>
      </c>
      <c r="C51" s="14">
        <f t="shared" si="11"/>
        <v>0</v>
      </c>
      <c r="D51" s="14">
        <f t="shared" si="12"/>
        <v>10</v>
      </c>
      <c r="E51" s="14">
        <f t="shared" si="13"/>
        <v>41.53846153846154</v>
      </c>
      <c r="F51" s="14">
        <f t="shared" si="14"/>
        <v>48.46153846153846</v>
      </c>
      <c r="G51" s="14">
        <f t="shared" si="15"/>
        <v>0</v>
      </c>
      <c r="H51" s="10">
        <f t="shared" si="16"/>
        <v>0.1</v>
      </c>
      <c r="I51" s="10">
        <f t="shared" si="17"/>
        <v>0.41538461538461541</v>
      </c>
      <c r="J51" s="10">
        <f t="shared" si="18"/>
        <v>0.48461538461538461</v>
      </c>
      <c r="K51" s="10">
        <f t="shared" si="19"/>
        <v>0</v>
      </c>
      <c r="L51" s="10">
        <f t="shared" si="20"/>
        <v>0</v>
      </c>
      <c r="M51" s="10">
        <f t="shared" si="21"/>
        <v>1</v>
      </c>
    </row>
    <row r="52" spans="1:13" x14ac:dyDescent="0.45">
      <c r="A52" s="12">
        <v>11</v>
      </c>
      <c r="B52" s="14">
        <f t="shared" si="10"/>
        <v>0</v>
      </c>
      <c r="C52" s="14">
        <f t="shared" si="11"/>
        <v>0</v>
      </c>
      <c r="D52" s="14">
        <f t="shared" si="12"/>
        <v>10</v>
      </c>
      <c r="E52" s="14">
        <f t="shared" si="13"/>
        <v>41.53846153846154</v>
      </c>
      <c r="F52" s="14">
        <f t="shared" si="14"/>
        <v>48.46153846153846</v>
      </c>
      <c r="G52" s="14">
        <f t="shared" si="15"/>
        <v>0</v>
      </c>
      <c r="H52" s="10">
        <f t="shared" si="16"/>
        <v>0.1</v>
      </c>
      <c r="I52" s="10">
        <f t="shared" si="17"/>
        <v>0.41538461538461541</v>
      </c>
      <c r="J52" s="10">
        <f t="shared" si="18"/>
        <v>0.48461538461538461</v>
      </c>
      <c r="K52" s="10">
        <f t="shared" si="19"/>
        <v>0</v>
      </c>
      <c r="L52" s="10">
        <f t="shared" si="20"/>
        <v>0</v>
      </c>
      <c r="M52" s="10">
        <f t="shared" si="21"/>
        <v>1</v>
      </c>
    </row>
    <row r="53" spans="1:13" x14ac:dyDescent="0.45">
      <c r="A53" s="12">
        <v>12</v>
      </c>
      <c r="B53" s="14">
        <f t="shared" si="10"/>
        <v>0</v>
      </c>
      <c r="C53" s="14">
        <f t="shared" si="11"/>
        <v>0</v>
      </c>
      <c r="D53" s="14">
        <f t="shared" si="12"/>
        <v>10</v>
      </c>
      <c r="E53" s="14">
        <f t="shared" si="13"/>
        <v>41.53846153846154</v>
      </c>
      <c r="F53" s="14">
        <f t="shared" si="14"/>
        <v>48.46153846153846</v>
      </c>
      <c r="G53" s="14">
        <f t="shared" si="15"/>
        <v>0</v>
      </c>
      <c r="H53" s="10">
        <f t="shared" si="16"/>
        <v>0.1</v>
      </c>
      <c r="I53" s="10">
        <f t="shared" si="17"/>
        <v>0.41538461538461541</v>
      </c>
      <c r="J53" s="10">
        <f t="shared" si="18"/>
        <v>0.48461538461538461</v>
      </c>
      <c r="K53" s="10">
        <f t="shared" si="19"/>
        <v>0</v>
      </c>
      <c r="L53" s="10">
        <f t="shared" si="20"/>
        <v>0</v>
      </c>
      <c r="M53" s="10">
        <f t="shared" si="21"/>
        <v>1</v>
      </c>
    </row>
    <row r="54" spans="1:13" x14ac:dyDescent="0.45">
      <c r="A54" s="2" t="s">
        <v>238</v>
      </c>
    </row>
    <row r="56" spans="1:13" x14ac:dyDescent="0.45">
      <c r="A56" s="3" t="s">
        <v>239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45">
      <c r="A57" s="2" t="s">
        <v>240</v>
      </c>
    </row>
    <row r="58" spans="1:13" x14ac:dyDescent="0.45">
      <c r="A58" s="6" t="s">
        <v>241</v>
      </c>
      <c r="B58" s="6" t="s">
        <v>242</v>
      </c>
      <c r="C58" s="6" t="s">
        <v>51</v>
      </c>
      <c r="D58" s="6" t="s">
        <v>243</v>
      </c>
      <c r="E58" s="6" t="s">
        <v>244</v>
      </c>
    </row>
    <row r="59" spans="1:13" x14ac:dyDescent="0.45">
      <c r="A59" s="8" t="s">
        <v>143</v>
      </c>
      <c r="B59" s="9">
        <v>0.4</v>
      </c>
      <c r="C59" s="10">
        <f>B59</f>
        <v>0.4</v>
      </c>
      <c r="D59" s="8" t="s">
        <v>146</v>
      </c>
      <c r="E59" s="18">
        <f>C59/$B$7</f>
        <v>6.6666666666666666E-2</v>
      </c>
    </row>
    <row r="60" spans="1:13" x14ac:dyDescent="0.45">
      <c r="A60" s="8" t="s">
        <v>142</v>
      </c>
      <c r="B60" s="9">
        <v>0.75</v>
      </c>
      <c r="C60" s="10">
        <f>B60-B59</f>
        <v>0.35</v>
      </c>
      <c r="D60" s="8" t="s">
        <v>143</v>
      </c>
      <c r="E60" s="18">
        <f>C60/$B$8</f>
        <v>3.4999999999999996E-2</v>
      </c>
    </row>
    <row r="61" spans="1:13" x14ac:dyDescent="0.45">
      <c r="A61" s="8" t="s">
        <v>141</v>
      </c>
      <c r="B61" s="9">
        <v>0.95</v>
      </c>
      <c r="C61" s="10">
        <f>B61-B60</f>
        <v>0.19999999999999996</v>
      </c>
      <c r="D61" s="8" t="s">
        <v>142</v>
      </c>
      <c r="E61" s="18">
        <f>C61/$B$9</f>
        <v>6.6666666666666652E-2</v>
      </c>
    </row>
    <row r="62" spans="1:13" x14ac:dyDescent="0.45">
      <c r="A62" s="8" t="s">
        <v>140</v>
      </c>
      <c r="B62" s="9">
        <v>1</v>
      </c>
      <c r="C62" s="10">
        <f>B62-B61</f>
        <v>5.0000000000000044E-2</v>
      </c>
      <c r="D62" s="8" t="s">
        <v>141</v>
      </c>
      <c r="E62" s="18">
        <f>C62/$B$10</f>
        <v>1.2500000000000011E-2</v>
      </c>
    </row>
    <row r="63" spans="1:13" x14ac:dyDescent="0.45">
      <c r="A63" s="2" t="s">
        <v>245</v>
      </c>
    </row>
    <row r="65" spans="1:13" x14ac:dyDescent="0.45">
      <c r="A65" s="3" t="s">
        <v>246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45">
      <c r="A66" s="2" t="s">
        <v>247</v>
      </c>
    </row>
    <row r="67" spans="1:13" x14ac:dyDescent="0.45">
      <c r="A67" s="6" t="s">
        <v>248</v>
      </c>
      <c r="B67" s="6" t="s">
        <v>249</v>
      </c>
      <c r="C67" s="6" t="s">
        <v>250</v>
      </c>
      <c r="D67" s="6" t="s">
        <v>251</v>
      </c>
    </row>
    <row r="68" spans="1:13" x14ac:dyDescent="0.45">
      <c r="A68" s="8" t="s">
        <v>146</v>
      </c>
      <c r="B68" s="12">
        <v>0</v>
      </c>
      <c r="C68" s="23">
        <f>40*(B68+1)</f>
        <v>40</v>
      </c>
      <c r="D68" s="15" t="s">
        <v>252</v>
      </c>
    </row>
    <row r="69" spans="1:13" x14ac:dyDescent="0.45">
      <c r="A69" s="8" t="s">
        <v>143</v>
      </c>
      <c r="B69" s="12">
        <v>1</v>
      </c>
      <c r="C69" s="23">
        <f>40*(B69+1)</f>
        <v>80</v>
      </c>
      <c r="D69" s="15" t="s">
        <v>252</v>
      </c>
    </row>
    <row r="70" spans="1:13" x14ac:dyDescent="0.45">
      <c r="A70" s="8" t="s">
        <v>142</v>
      </c>
      <c r="B70" s="12">
        <v>2</v>
      </c>
      <c r="C70" s="23">
        <f>40*(B70+1)</f>
        <v>120</v>
      </c>
      <c r="D70" s="15" t="s">
        <v>252</v>
      </c>
    </row>
    <row r="71" spans="1:13" x14ac:dyDescent="0.45">
      <c r="A71" s="8" t="s">
        <v>141</v>
      </c>
      <c r="B71" s="12">
        <v>3</v>
      </c>
      <c r="C71" s="23">
        <f>40*(B71+1)</f>
        <v>160</v>
      </c>
      <c r="D71" s="15" t="s">
        <v>252</v>
      </c>
    </row>
    <row r="72" spans="1:13" x14ac:dyDescent="0.45">
      <c r="A72" s="8" t="s">
        <v>140</v>
      </c>
      <c r="B72" s="12">
        <v>4</v>
      </c>
      <c r="C72" s="23">
        <f>40*(B72+1)</f>
        <v>200</v>
      </c>
      <c r="D72" s="15" t="s">
        <v>252</v>
      </c>
    </row>
    <row r="73" spans="1:13" x14ac:dyDescent="0.45">
      <c r="A73" s="5" t="s">
        <v>253</v>
      </c>
      <c r="B73" s="19" t="s">
        <v>254</v>
      </c>
      <c r="C73" s="2" t="s">
        <v>255</v>
      </c>
    </row>
    <row r="75" spans="1:13" x14ac:dyDescent="0.45">
      <c r="A75" s="3" t="s">
        <v>256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45">
      <c r="A76" s="6" t="s">
        <v>257</v>
      </c>
      <c r="B76" s="6" t="s">
        <v>258</v>
      </c>
      <c r="C76" s="6" t="s">
        <v>259</v>
      </c>
    </row>
    <row r="77" spans="1:13" x14ac:dyDescent="0.45">
      <c r="A77" s="8" t="s">
        <v>260</v>
      </c>
      <c r="B77" s="8" t="s">
        <v>261</v>
      </c>
      <c r="C77" s="8" t="s">
        <v>262</v>
      </c>
    </row>
    <row r="78" spans="1:13" x14ac:dyDescent="0.45">
      <c r="A78" s="8" t="s">
        <v>263</v>
      </c>
      <c r="B78" s="8" t="s">
        <v>264</v>
      </c>
      <c r="C78" s="8" t="s">
        <v>265</v>
      </c>
    </row>
    <row r="79" spans="1:13" x14ac:dyDescent="0.45">
      <c r="A79" s="8" t="s">
        <v>266</v>
      </c>
      <c r="B79" s="8" t="s">
        <v>267</v>
      </c>
      <c r="C79" s="10">
        <f>1/7</f>
        <v>0.14285714285714285</v>
      </c>
      <c r="D79" s="15" t="s">
        <v>268</v>
      </c>
    </row>
    <row r="80" spans="1:13" x14ac:dyDescent="0.45">
      <c r="A80" s="8" t="s">
        <v>269</v>
      </c>
      <c r="B80" s="8" t="s">
        <v>267</v>
      </c>
      <c r="C80" s="10">
        <f>1/7</f>
        <v>0.14285714285714285</v>
      </c>
    </row>
    <row r="81" spans="1:3" x14ac:dyDescent="0.45">
      <c r="A81" s="8" t="s">
        <v>270</v>
      </c>
      <c r="B81" s="8" t="s">
        <v>271</v>
      </c>
      <c r="C81" s="8" t="s">
        <v>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"/>
  <sheetViews>
    <sheetView showGridLines="0" workbookViewId="0"/>
  </sheetViews>
  <sheetFormatPr baseColWidth="10" defaultColWidth="9.06640625" defaultRowHeight="14.25" x14ac:dyDescent="0.45"/>
  <cols>
    <col min="1" max="1" width="36" customWidth="1"/>
    <col min="2" max="8" width="13" customWidth="1"/>
    <col min="9" max="9" width="40" customWidth="1"/>
  </cols>
  <sheetData>
    <row r="1" spans="1:9" ht="17.649999999999999" x14ac:dyDescent="0.5">
      <c r="A1" s="1" t="s">
        <v>273</v>
      </c>
    </row>
    <row r="2" spans="1:9" x14ac:dyDescent="0.45">
      <c r="A2" s="2" t="s">
        <v>274</v>
      </c>
    </row>
    <row r="4" spans="1:9" x14ac:dyDescent="0.45">
      <c r="A4" s="3" t="s">
        <v>275</v>
      </c>
      <c r="B4" s="3"/>
      <c r="C4" s="3"/>
      <c r="D4" s="3"/>
      <c r="E4" s="3"/>
      <c r="F4" s="3"/>
      <c r="G4" s="3"/>
      <c r="H4" s="3"/>
      <c r="I4" s="3"/>
    </row>
    <row r="5" spans="1:9" x14ac:dyDescent="0.45">
      <c r="A5" s="2" t="s">
        <v>276</v>
      </c>
    </row>
    <row r="6" spans="1:9" x14ac:dyDescent="0.45">
      <c r="A6" s="5" t="s">
        <v>277</v>
      </c>
      <c r="B6" s="12">
        <v>1</v>
      </c>
    </row>
    <row r="7" spans="1:9" x14ac:dyDescent="0.45">
      <c r="A7" s="5" t="s">
        <v>278</v>
      </c>
      <c r="B7" s="12">
        <v>1</v>
      </c>
    </row>
    <row r="8" spans="1:9" x14ac:dyDescent="0.45">
      <c r="A8" s="5" t="s">
        <v>279</v>
      </c>
      <c r="B8" s="12">
        <v>25</v>
      </c>
    </row>
    <row r="9" spans="1:9" x14ac:dyDescent="0.45">
      <c r="A9" s="5" t="s">
        <v>280</v>
      </c>
      <c r="B9" s="12">
        <v>25</v>
      </c>
      <c r="C9" s="2" t="s">
        <v>281</v>
      </c>
    </row>
    <row r="10" spans="1:9" x14ac:dyDescent="0.45">
      <c r="A10" s="5" t="s">
        <v>282</v>
      </c>
      <c r="B10" s="12">
        <v>1</v>
      </c>
      <c r="C10" s="2" t="s">
        <v>283</v>
      </c>
    </row>
    <row r="11" spans="1:9" x14ac:dyDescent="0.45">
      <c r="A11" s="6" t="s">
        <v>284</v>
      </c>
      <c r="B11" s="6" t="s">
        <v>285</v>
      </c>
      <c r="C11" s="6" t="s">
        <v>286</v>
      </c>
      <c r="D11" s="6" t="s">
        <v>287</v>
      </c>
      <c r="E11" s="6" t="s">
        <v>74</v>
      </c>
    </row>
    <row r="12" spans="1:9" x14ac:dyDescent="0.45">
      <c r="A12" s="12">
        <v>0</v>
      </c>
      <c r="B12" s="14">
        <f>$B$6+$B$10*A12</f>
        <v>1</v>
      </c>
      <c r="C12" s="10">
        <f>MIN(1,($B$8+$B$9*A12)/100)</f>
        <v>0.25</v>
      </c>
      <c r="D12" s="14">
        <f>$B$7+C12</f>
        <v>1.25</v>
      </c>
      <c r="E12" s="12">
        <v>0</v>
      </c>
    </row>
    <row r="13" spans="1:9" x14ac:dyDescent="0.45">
      <c r="A13" s="12">
        <v>1</v>
      </c>
      <c r="B13" s="14">
        <f>$B$6+$B$10*A13</f>
        <v>2</v>
      </c>
      <c r="C13" s="10">
        <f>MIN(1,($B$8+$B$9*A13)/100)</f>
        <v>0.5</v>
      </c>
      <c r="D13" s="14">
        <f>$B$7+C13</f>
        <v>1.5</v>
      </c>
      <c r="E13" s="12">
        <v>0</v>
      </c>
    </row>
    <row r="14" spans="1:9" x14ac:dyDescent="0.45">
      <c r="A14" s="12">
        <v>2</v>
      </c>
      <c r="B14" s="14">
        <f>$B$6+$B$10*A14</f>
        <v>3</v>
      </c>
      <c r="C14" s="10">
        <f>MIN(1,($B$8+$B$9*A14)/100)</f>
        <v>0.75</v>
      </c>
      <c r="D14" s="14">
        <f>$B$7+C14</f>
        <v>1.75</v>
      </c>
      <c r="E14" s="12">
        <v>0</v>
      </c>
    </row>
    <row r="15" spans="1:9" x14ac:dyDescent="0.45">
      <c r="A15" s="12">
        <v>3</v>
      </c>
      <c r="B15" s="14">
        <f>$B$6+$B$10*A15</f>
        <v>4</v>
      </c>
      <c r="C15" s="10">
        <f>MIN(1,($B$8+$B$9*A15)/100)</f>
        <v>1</v>
      </c>
      <c r="D15" s="14">
        <f>$B$7+C15</f>
        <v>2</v>
      </c>
      <c r="E15" s="12">
        <v>0</v>
      </c>
    </row>
    <row r="16" spans="1:9" x14ac:dyDescent="0.45">
      <c r="A16" s="12">
        <v>4</v>
      </c>
      <c r="B16" s="14">
        <f>$B$6+$B$10*A16</f>
        <v>5</v>
      </c>
      <c r="C16" s="10">
        <f>MIN(1,($B$8+$B$9*A16)/100)</f>
        <v>1</v>
      </c>
      <c r="D16" s="14">
        <f>$B$7+C16</f>
        <v>2</v>
      </c>
      <c r="E16" s="12">
        <v>0</v>
      </c>
    </row>
    <row r="17" spans="1:9" x14ac:dyDescent="0.45">
      <c r="A17" s="2" t="s">
        <v>288</v>
      </c>
    </row>
    <row r="19" spans="1:9" x14ac:dyDescent="0.45">
      <c r="A19" s="3" t="s">
        <v>289</v>
      </c>
      <c r="B19" s="3"/>
      <c r="C19" s="3"/>
      <c r="D19" s="3"/>
      <c r="E19" s="3"/>
      <c r="F19" s="3"/>
      <c r="G19" s="3"/>
      <c r="H19" s="3"/>
      <c r="I19" s="3"/>
    </row>
    <row r="20" spans="1:9" x14ac:dyDescent="0.45">
      <c r="A20" s="5" t="s">
        <v>290</v>
      </c>
      <c r="B20" s="12">
        <v>17</v>
      </c>
      <c r="C20" s="2" t="s">
        <v>291</v>
      </c>
    </row>
    <row r="21" spans="1:9" x14ac:dyDescent="0.45">
      <c r="A21" s="5" t="s">
        <v>292</v>
      </c>
      <c r="B21" s="17">
        <f>1/$B$20</f>
        <v>5.8823529411764705E-2</v>
      </c>
    </row>
    <row r="22" spans="1:9" x14ac:dyDescent="0.45">
      <c r="A22" s="2" t="s">
        <v>293</v>
      </c>
    </row>
    <row r="24" spans="1:9" x14ac:dyDescent="0.45">
      <c r="A24" s="3" t="s">
        <v>294</v>
      </c>
      <c r="B24" s="3"/>
      <c r="C24" s="3"/>
      <c r="D24" s="3"/>
      <c r="E24" s="3"/>
      <c r="F24" s="3"/>
      <c r="G24" s="3"/>
      <c r="H24" s="3"/>
      <c r="I24" s="3"/>
    </row>
    <row r="25" spans="1:9" x14ac:dyDescent="0.45">
      <c r="A25" s="6" t="s">
        <v>295</v>
      </c>
      <c r="B25" s="6" t="s">
        <v>296</v>
      </c>
      <c r="C25" s="6" t="s">
        <v>297</v>
      </c>
      <c r="D25" s="6" t="s">
        <v>298</v>
      </c>
      <c r="E25" s="6" t="s">
        <v>299</v>
      </c>
      <c r="F25" s="6" t="s">
        <v>300</v>
      </c>
    </row>
    <row r="26" spans="1:9" x14ac:dyDescent="0.45">
      <c r="A26" s="12">
        <v>1</v>
      </c>
      <c r="B26" s="14">
        <f t="shared" ref="B26:B42" si="0">A26/$B$20</f>
        <v>5.8823529411764705E-2</v>
      </c>
      <c r="C26" s="10">
        <f t="shared" ref="C26:C42" si="1">1-(1-1/$B$20)^A26</f>
        <v>5.8823529411764719E-2</v>
      </c>
      <c r="D26" s="10">
        <f t="shared" ref="D26:D42" si="2">IF(A26&lt;2,0,1-_xlfn.BINOM.DIST(1,A26,1/$B$20,TRUE))</f>
        <v>0</v>
      </c>
      <c r="E26" s="10">
        <f t="shared" ref="E26:E42" si="3">IF(A26&lt;3,0,1-_xlfn.BINOM.DIST(2,A26,1/$B$20,TRUE))</f>
        <v>0</v>
      </c>
      <c r="F26" s="14">
        <f t="shared" ref="F26:F42" si="4">$B$20*E26</f>
        <v>0</v>
      </c>
    </row>
    <row r="27" spans="1:9" x14ac:dyDescent="0.45">
      <c r="A27" s="12">
        <v>2</v>
      </c>
      <c r="B27" s="14">
        <f t="shared" si="0"/>
        <v>0.11764705882352941</v>
      </c>
      <c r="C27" s="10">
        <f t="shared" si="1"/>
        <v>0.11418685121107264</v>
      </c>
      <c r="D27" s="10">
        <f t="shared" si="2"/>
        <v>3.4602076124568004E-3</v>
      </c>
      <c r="E27" s="10">
        <f t="shared" si="3"/>
        <v>0</v>
      </c>
      <c r="F27" s="14">
        <f t="shared" si="4"/>
        <v>0</v>
      </c>
    </row>
    <row r="28" spans="1:9" x14ac:dyDescent="0.45">
      <c r="A28" s="12">
        <v>3</v>
      </c>
      <c r="B28" s="14">
        <f t="shared" si="0"/>
        <v>0.17647058823529413</v>
      </c>
      <c r="C28" s="10">
        <f t="shared" si="1"/>
        <v>0.16629350702218604</v>
      </c>
      <c r="D28" s="10">
        <f t="shared" si="2"/>
        <v>9.9735395888458367E-3</v>
      </c>
      <c r="E28" s="10">
        <f t="shared" si="3"/>
        <v>2.0354162426217126E-4</v>
      </c>
      <c r="F28" s="14">
        <f t="shared" si="4"/>
        <v>3.4602076124569114E-3</v>
      </c>
    </row>
    <row r="29" spans="1:9" x14ac:dyDescent="0.45">
      <c r="A29" s="12">
        <v>4</v>
      </c>
      <c r="B29" s="14">
        <f t="shared" si="0"/>
        <v>0.23529411764705882</v>
      </c>
      <c r="C29" s="10">
        <f t="shared" si="1"/>
        <v>0.21533506543264569</v>
      </c>
      <c r="D29" s="10">
        <f t="shared" si="2"/>
        <v>1.9168831790807084E-2</v>
      </c>
      <c r="E29" s="10">
        <f t="shared" si="3"/>
        <v>7.7824738688470063E-4</v>
      </c>
      <c r="F29" s="14">
        <f t="shared" si="4"/>
        <v>1.3230205577039911E-2</v>
      </c>
    </row>
    <row r="30" spans="1:9" x14ac:dyDescent="0.45">
      <c r="A30" s="12">
        <v>5</v>
      </c>
      <c r="B30" s="14">
        <f t="shared" si="0"/>
        <v>0.29411764705882354</v>
      </c>
      <c r="C30" s="10">
        <f t="shared" si="1"/>
        <v>0.26149182628954892</v>
      </c>
      <c r="D30" s="10">
        <f t="shared" si="2"/>
        <v>3.0708022005032864E-2</v>
      </c>
      <c r="E30" s="10">
        <f t="shared" si="3"/>
        <v>1.8600464694684682E-3</v>
      </c>
      <c r="F30" s="14">
        <f t="shared" si="4"/>
        <v>3.1620789980963959E-2</v>
      </c>
    </row>
    <row r="31" spans="1:9" x14ac:dyDescent="0.45">
      <c r="A31" s="12">
        <v>6</v>
      </c>
      <c r="B31" s="14">
        <f t="shared" si="0"/>
        <v>0.35294117647058826</v>
      </c>
      <c r="C31" s="10">
        <f t="shared" si="1"/>
        <v>0.30493348356663419</v>
      </c>
      <c r="D31" s="10">
        <f t="shared" si="2"/>
        <v>4.4283539904122149E-2</v>
      </c>
      <c r="E31" s="10">
        <f t="shared" si="3"/>
        <v>3.5569862068545177E-3</v>
      </c>
      <c r="F31" s="14">
        <f t="shared" si="4"/>
        <v>6.0468765516526801E-2</v>
      </c>
    </row>
    <row r="32" spans="1:9" x14ac:dyDescent="0.45">
      <c r="A32" s="12">
        <v>7</v>
      </c>
      <c r="B32" s="14">
        <f t="shared" si="0"/>
        <v>0.41176470588235292</v>
      </c>
      <c r="C32" s="10">
        <f t="shared" si="1"/>
        <v>0.34581974923918513</v>
      </c>
      <c r="D32" s="10">
        <f t="shared" si="2"/>
        <v>5.961588953132857E-2</v>
      </c>
      <c r="E32" s="10">
        <f t="shared" si="3"/>
        <v>5.9526658361055418E-3</v>
      </c>
      <c r="F32" s="14">
        <f t="shared" si="4"/>
        <v>0.10119531921379421</v>
      </c>
    </row>
    <row r="33" spans="1:9" x14ac:dyDescent="0.45">
      <c r="A33" s="12">
        <v>8</v>
      </c>
      <c r="B33" s="14">
        <f t="shared" si="0"/>
        <v>0.47058823529411764</v>
      </c>
      <c r="C33" s="10">
        <f t="shared" si="1"/>
        <v>0.38430094046040952</v>
      </c>
      <c r="D33" s="10">
        <f t="shared" si="2"/>
        <v>7.6451410690614452E-2</v>
      </c>
      <c r="E33" s="10">
        <f t="shared" si="3"/>
        <v>9.1093260534715892E-3</v>
      </c>
      <c r="F33" s="14">
        <f t="shared" si="4"/>
        <v>0.15485854290901702</v>
      </c>
    </row>
    <row r="34" spans="1:9" x14ac:dyDescent="0.45">
      <c r="A34" s="12">
        <v>9</v>
      </c>
      <c r="B34" s="14">
        <f t="shared" si="0"/>
        <v>0.52941176470588236</v>
      </c>
      <c r="C34" s="10">
        <f t="shared" si="1"/>
        <v>0.42051853219803248</v>
      </c>
      <c r="D34" s="10">
        <f t="shared" si="2"/>
        <v>9.4560206559426097E-2</v>
      </c>
      <c r="E34" s="10">
        <f t="shared" si="3"/>
        <v>1.3070625149774084E-2</v>
      </c>
      <c r="F34" s="14">
        <f t="shared" si="4"/>
        <v>0.22220062754615943</v>
      </c>
    </row>
    <row r="35" spans="1:9" x14ac:dyDescent="0.45">
      <c r="A35" s="12">
        <v>10</v>
      </c>
      <c r="B35" s="14">
        <f t="shared" si="0"/>
        <v>0.58823529411764708</v>
      </c>
      <c r="C35" s="10">
        <f t="shared" si="1"/>
        <v>0.45460567736285407</v>
      </c>
      <c r="D35" s="10">
        <f t="shared" si="2"/>
        <v>0.11373422571463798</v>
      </c>
      <c r="E35" s="10">
        <f t="shared" si="3"/>
        <v>1.7864129938577222E-2</v>
      </c>
      <c r="F35" s="14">
        <f t="shared" si="4"/>
        <v>0.30369020895581278</v>
      </c>
    </row>
    <row r="36" spans="1:9" x14ac:dyDescent="0.45">
      <c r="A36" s="12">
        <v>12</v>
      </c>
      <c r="B36" s="14">
        <f t="shared" si="0"/>
        <v>0.70588235294117652</v>
      </c>
      <c r="C36" s="10">
        <f t="shared" si="1"/>
        <v>0.5168825377331856</v>
      </c>
      <c r="D36" s="10">
        <f t="shared" si="2"/>
        <v>0.15454444103307496</v>
      </c>
      <c r="E36" s="10">
        <f t="shared" si="3"/>
        <v>2.9990720292411899E-2</v>
      </c>
      <c r="F36" s="14">
        <f t="shared" si="4"/>
        <v>0.50984224497100228</v>
      </c>
    </row>
    <row r="37" spans="1:9" x14ac:dyDescent="0.45">
      <c r="A37" s="12">
        <v>15</v>
      </c>
      <c r="B37" s="14">
        <f t="shared" si="0"/>
        <v>0.88235294117647056</v>
      </c>
      <c r="C37" s="10">
        <f t="shared" si="1"/>
        <v>0.59722183483719282</v>
      </c>
      <c r="D37" s="10">
        <f t="shared" si="2"/>
        <v>0.21961730499706122</v>
      </c>
      <c r="E37" s="10">
        <f t="shared" si="3"/>
        <v>5.4415323192003595E-2</v>
      </c>
      <c r="F37" s="14">
        <f t="shared" si="4"/>
        <v>0.92506049426406112</v>
      </c>
    </row>
    <row r="38" spans="1:9" x14ac:dyDescent="0.45">
      <c r="A38" s="12">
        <v>20</v>
      </c>
      <c r="B38" s="14">
        <f t="shared" si="0"/>
        <v>1.1764705882352942</v>
      </c>
      <c r="C38" s="10">
        <f t="shared" si="1"/>
        <v>0.70254503283516878</v>
      </c>
      <c r="D38" s="10">
        <f t="shared" si="2"/>
        <v>0.33072632387913004</v>
      </c>
      <c r="E38" s="10">
        <f t="shared" si="3"/>
        <v>0.10995896543648187</v>
      </c>
      <c r="F38" s="14">
        <f t="shared" si="4"/>
        <v>1.8693024124201918</v>
      </c>
    </row>
    <row r="39" spans="1:9" x14ac:dyDescent="0.45">
      <c r="A39" s="12">
        <v>25</v>
      </c>
      <c r="B39" s="14">
        <f t="shared" si="0"/>
        <v>1.4705882352941178</v>
      </c>
      <c r="C39" s="10">
        <f t="shared" si="1"/>
        <v>0.78032707543799829</v>
      </c>
      <c r="D39" s="10">
        <f t="shared" si="2"/>
        <v>0.43708813080987097</v>
      </c>
      <c r="E39" s="10">
        <f t="shared" si="3"/>
        <v>0.17965892233877523</v>
      </c>
      <c r="F39" s="14">
        <f t="shared" si="4"/>
        <v>3.0542016797591787</v>
      </c>
    </row>
    <row r="40" spans="1:9" x14ac:dyDescent="0.45">
      <c r="A40" s="12">
        <v>30</v>
      </c>
      <c r="B40" s="14">
        <f t="shared" si="0"/>
        <v>1.7647058823529411</v>
      </c>
      <c r="C40" s="10">
        <f t="shared" si="1"/>
        <v>0.83776974966808238</v>
      </c>
      <c r="D40" s="10">
        <f t="shared" si="2"/>
        <v>0.53358803029573731</v>
      </c>
      <c r="E40" s="10">
        <f t="shared" si="3"/>
        <v>0.25792334711454934</v>
      </c>
      <c r="F40" s="14">
        <f t="shared" si="4"/>
        <v>4.3846969009473389</v>
      </c>
    </row>
    <row r="41" spans="1:9" x14ac:dyDescent="0.45">
      <c r="A41" s="12">
        <v>40</v>
      </c>
      <c r="B41" s="14">
        <f t="shared" si="0"/>
        <v>2.3529411764705883</v>
      </c>
      <c r="C41" s="10">
        <f t="shared" si="1"/>
        <v>0.91152054250896919</v>
      </c>
      <c r="D41" s="10">
        <f t="shared" si="2"/>
        <v>0.69032189878139238</v>
      </c>
      <c r="E41" s="10">
        <f t="shared" si="3"/>
        <v>0.42073605173840833</v>
      </c>
      <c r="F41" s="14">
        <f t="shared" si="4"/>
        <v>7.1525128795529413</v>
      </c>
    </row>
    <row r="42" spans="1:9" x14ac:dyDescent="0.45">
      <c r="A42" s="12">
        <v>50</v>
      </c>
      <c r="B42" s="14">
        <f t="shared" si="0"/>
        <v>2.9411764705882355</v>
      </c>
      <c r="C42" s="10">
        <f t="shared" si="1"/>
        <v>0.95174380621437704</v>
      </c>
      <c r="D42" s="10">
        <f t="shared" si="2"/>
        <v>0.8009432006343058</v>
      </c>
      <c r="E42" s="10">
        <f t="shared" si="3"/>
        <v>0.57002977333982097</v>
      </c>
      <c r="F42" s="14">
        <f t="shared" si="4"/>
        <v>9.690506146776956</v>
      </c>
    </row>
    <row r="44" spans="1:9" x14ac:dyDescent="0.45">
      <c r="A44" s="3" t="s">
        <v>301</v>
      </c>
      <c r="B44" s="3"/>
      <c r="C44" s="3"/>
      <c r="D44" s="3"/>
      <c r="E44" s="3"/>
      <c r="F44" s="3"/>
      <c r="G44" s="3"/>
      <c r="H44" s="3"/>
      <c r="I44" s="3"/>
    </row>
    <row r="45" spans="1:9" x14ac:dyDescent="0.45">
      <c r="A45" s="5" t="s">
        <v>302</v>
      </c>
      <c r="B45" s="22">
        <v>6</v>
      </c>
    </row>
    <row r="46" spans="1:9" x14ac:dyDescent="0.45">
      <c r="A46" s="5" t="s">
        <v>303</v>
      </c>
      <c r="B46" s="22">
        <v>1</v>
      </c>
    </row>
    <row r="47" spans="1:9" x14ac:dyDescent="0.45">
      <c r="A47" s="5" t="s">
        <v>304</v>
      </c>
      <c r="B47" s="22">
        <v>0</v>
      </c>
    </row>
    <row r="48" spans="1:9" x14ac:dyDescent="0.45">
      <c r="A48" s="5" t="s">
        <v>305</v>
      </c>
      <c r="B48" s="22">
        <v>0</v>
      </c>
    </row>
    <row r="49" spans="1:2" x14ac:dyDescent="0.45">
      <c r="A49" s="5" t="s">
        <v>306</v>
      </c>
      <c r="B49" s="9">
        <f>$B$45*($B$6+$B$10*$B$47)+$B$46*($B$7+MIN(1,($B$8+$B$9*$B$48)/100))</f>
        <v>7.25</v>
      </c>
    </row>
    <row r="50" spans="1:2" x14ac:dyDescent="0.45">
      <c r="A50" s="2" t="s">
        <v>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1"/>
  <sheetViews>
    <sheetView showGridLines="0" workbookViewId="0"/>
  </sheetViews>
  <sheetFormatPr baseColWidth="10" defaultColWidth="9.06640625" defaultRowHeight="14.25" x14ac:dyDescent="0.45"/>
  <cols>
    <col min="1" max="1" width="34" customWidth="1"/>
    <col min="2" max="8" width="13" customWidth="1"/>
    <col min="9" max="9" width="40" customWidth="1"/>
  </cols>
  <sheetData>
    <row r="1" spans="1:9" ht="17.649999999999999" x14ac:dyDescent="0.5">
      <c r="A1" s="1" t="s">
        <v>308</v>
      </c>
    </row>
    <row r="2" spans="1:9" x14ac:dyDescent="0.45">
      <c r="A2" s="2" t="s">
        <v>309</v>
      </c>
    </row>
    <row r="4" spans="1:9" x14ac:dyDescent="0.45">
      <c r="A4" s="3" t="s">
        <v>310</v>
      </c>
      <c r="B4" s="3"/>
      <c r="C4" s="3"/>
      <c r="D4" s="3"/>
      <c r="E4" s="3"/>
      <c r="F4" s="3"/>
      <c r="G4" s="3"/>
      <c r="H4" s="3"/>
      <c r="I4" s="3"/>
    </row>
    <row r="5" spans="1:9" x14ac:dyDescent="0.45">
      <c r="A5" s="2" t="s">
        <v>311</v>
      </c>
    </row>
    <row r="6" spans="1:9" x14ac:dyDescent="0.45">
      <c r="A6" s="5" t="s">
        <v>312</v>
      </c>
      <c r="B6" s="12">
        <v>10</v>
      </c>
    </row>
    <row r="7" spans="1:9" x14ac:dyDescent="0.45">
      <c r="A7" s="5" t="s">
        <v>313</v>
      </c>
      <c r="B7" s="12">
        <v>25</v>
      </c>
    </row>
    <row r="8" spans="1:9" x14ac:dyDescent="0.45">
      <c r="A8" s="5" t="s">
        <v>314</v>
      </c>
      <c r="B8" s="12">
        <v>10</v>
      </c>
    </row>
    <row r="9" spans="1:9" x14ac:dyDescent="0.45">
      <c r="A9" s="5" t="s">
        <v>315</v>
      </c>
      <c r="B9" s="12">
        <v>50</v>
      </c>
    </row>
    <row r="10" spans="1:9" x14ac:dyDescent="0.45">
      <c r="A10" s="6" t="s">
        <v>122</v>
      </c>
      <c r="B10" s="6" t="s">
        <v>236</v>
      </c>
      <c r="C10" s="6" t="s">
        <v>235</v>
      </c>
      <c r="D10" s="6" t="s">
        <v>234</v>
      </c>
    </row>
    <row r="11" spans="1:9" x14ac:dyDescent="0.45">
      <c r="A11" s="12">
        <v>1</v>
      </c>
      <c r="B11" s="10">
        <f>1-$B$6/100</f>
        <v>0.9</v>
      </c>
      <c r="C11" s="10">
        <f>$B$6/100</f>
        <v>0.1</v>
      </c>
      <c r="D11" s="10">
        <v>0</v>
      </c>
    </row>
    <row r="12" spans="1:9" x14ac:dyDescent="0.45">
      <c r="A12" s="12">
        <v>2</v>
      </c>
      <c r="B12" s="10">
        <f>1-$B$7/100</f>
        <v>0.75</v>
      </c>
      <c r="C12" s="10">
        <f>$B$7/100</f>
        <v>0.25</v>
      </c>
      <c r="D12" s="10">
        <v>0</v>
      </c>
    </row>
    <row r="13" spans="1:9" x14ac:dyDescent="0.45">
      <c r="A13" s="19" t="s">
        <v>316</v>
      </c>
      <c r="B13" s="10">
        <f>1-$B$9/100</f>
        <v>0.5</v>
      </c>
      <c r="C13" s="10">
        <f>($B$9-$B$8)/100</f>
        <v>0.4</v>
      </c>
      <c r="D13" s="10">
        <f>$B$8/100</f>
        <v>0.1</v>
      </c>
    </row>
    <row r="15" spans="1:9" x14ac:dyDescent="0.45">
      <c r="A15" s="3" t="s">
        <v>317</v>
      </c>
      <c r="B15" s="3"/>
      <c r="C15" s="3"/>
      <c r="D15" s="3"/>
      <c r="E15" s="3"/>
      <c r="F15" s="3"/>
      <c r="G15" s="3"/>
      <c r="H15" s="3"/>
      <c r="I15" s="3"/>
    </row>
    <row r="16" spans="1:9" x14ac:dyDescent="0.45">
      <c r="A16" s="2" t="s">
        <v>318</v>
      </c>
    </row>
    <row r="17" spans="1:9" x14ac:dyDescent="0.45">
      <c r="A17" s="5" t="s">
        <v>319</v>
      </c>
      <c r="B17" s="12">
        <v>15</v>
      </c>
    </row>
    <row r="18" spans="1:9" x14ac:dyDescent="0.45">
      <c r="A18" s="5" t="s">
        <v>320</v>
      </c>
      <c r="B18" s="12">
        <v>10</v>
      </c>
    </row>
    <row r="19" spans="1:9" x14ac:dyDescent="0.45">
      <c r="A19" s="5" t="s">
        <v>321</v>
      </c>
      <c r="B19" s="12">
        <v>40</v>
      </c>
    </row>
    <row r="20" spans="1:9" x14ac:dyDescent="0.45">
      <c r="A20" s="6" t="s">
        <v>322</v>
      </c>
      <c r="B20" s="6" t="s">
        <v>323</v>
      </c>
      <c r="C20" s="6" t="s">
        <v>324</v>
      </c>
      <c r="D20" s="6" t="s">
        <v>325</v>
      </c>
      <c r="E20" s="6" t="s">
        <v>326</v>
      </c>
      <c r="F20" s="6" t="s">
        <v>327</v>
      </c>
      <c r="G20" s="6" t="s">
        <v>328</v>
      </c>
      <c r="H20" s="6" t="s">
        <v>329</v>
      </c>
      <c r="I20" s="6" t="s">
        <v>330</v>
      </c>
    </row>
    <row r="21" spans="1:9" x14ac:dyDescent="0.45">
      <c r="A21" s="8" t="s">
        <v>146</v>
      </c>
      <c r="B21" s="16">
        <f>$B$13</f>
        <v>0.5</v>
      </c>
      <c r="C21" s="12">
        <v>0</v>
      </c>
      <c r="D21" s="10">
        <v>1</v>
      </c>
      <c r="E21" s="10">
        <v>0</v>
      </c>
      <c r="F21" s="10">
        <v>0</v>
      </c>
      <c r="G21" s="10">
        <f>B21*D21</f>
        <v>0.5</v>
      </c>
      <c r="H21" s="10">
        <f>B21*E21</f>
        <v>0</v>
      </c>
      <c r="I21" s="10">
        <f>B21*F21</f>
        <v>0</v>
      </c>
    </row>
    <row r="22" spans="1:9" x14ac:dyDescent="0.45">
      <c r="A22" s="8" t="s">
        <v>143</v>
      </c>
      <c r="B22" s="16">
        <f>$C$13</f>
        <v>0.4</v>
      </c>
      <c r="C22" s="12">
        <v>1</v>
      </c>
      <c r="D22" s="10">
        <f>1-$B$19/100</f>
        <v>0.6</v>
      </c>
      <c r="E22" s="10">
        <f>$B$19/100</f>
        <v>0.4</v>
      </c>
      <c r="F22" s="10">
        <v>0</v>
      </c>
      <c r="G22" s="10">
        <f>B22*D22</f>
        <v>0.24</v>
      </c>
      <c r="H22" s="10">
        <f>B22*E22</f>
        <v>0.16000000000000003</v>
      </c>
      <c r="I22" s="10">
        <f>B22*F22</f>
        <v>0</v>
      </c>
    </row>
    <row r="23" spans="1:9" x14ac:dyDescent="0.45">
      <c r="A23" s="8" t="s">
        <v>142</v>
      </c>
      <c r="B23" s="16">
        <f>$D$13</f>
        <v>0.1</v>
      </c>
      <c r="C23" s="12">
        <v>2</v>
      </c>
      <c r="D23" s="10">
        <f>1-$B$19/100</f>
        <v>0.6</v>
      </c>
      <c r="E23" s="10">
        <f>($B$19-$B$18)/100</f>
        <v>0.3</v>
      </c>
      <c r="F23" s="10">
        <f>$B$18/100</f>
        <v>0.1</v>
      </c>
      <c r="G23" s="10">
        <f>B23*D23</f>
        <v>0.06</v>
      </c>
      <c r="H23" s="10">
        <f>B23*E23</f>
        <v>0.03</v>
      </c>
      <c r="I23" s="10">
        <f>B23*F23</f>
        <v>1.0000000000000002E-2</v>
      </c>
    </row>
    <row r="24" spans="1:9" x14ac:dyDescent="0.45">
      <c r="A24" s="7" t="s">
        <v>331</v>
      </c>
      <c r="B24" s="11">
        <f>SUM(B21:B23)</f>
        <v>1</v>
      </c>
      <c r="C24" s="8"/>
      <c r="D24" s="8"/>
      <c r="E24" s="8"/>
      <c r="F24" s="8"/>
      <c r="G24" s="11">
        <f>SUM(G21:G23)</f>
        <v>0.8</v>
      </c>
      <c r="H24" s="11">
        <f>SUM(H21:H23)</f>
        <v>0.19000000000000003</v>
      </c>
      <c r="I24" s="11">
        <f>SUM(I21:I23)</f>
        <v>1.0000000000000002E-2</v>
      </c>
    </row>
    <row r="25" spans="1:9" x14ac:dyDescent="0.45">
      <c r="A25" s="7" t="s">
        <v>332</v>
      </c>
      <c r="B25" s="13">
        <f>H21+H22+H23+2*(I21+I22+I23)</f>
        <v>0.21000000000000002</v>
      </c>
    </row>
    <row r="27" spans="1:9" x14ac:dyDescent="0.45">
      <c r="A27" s="6" t="s">
        <v>333</v>
      </c>
      <c r="B27" s="6" t="s">
        <v>323</v>
      </c>
      <c r="C27" s="6" t="s">
        <v>324</v>
      </c>
      <c r="D27" s="6" t="s">
        <v>325</v>
      </c>
      <c r="E27" s="6" t="s">
        <v>326</v>
      </c>
      <c r="F27" s="6"/>
      <c r="G27" s="6" t="s">
        <v>328</v>
      </c>
      <c r="H27" s="6" t="s">
        <v>329</v>
      </c>
    </row>
    <row r="28" spans="1:9" x14ac:dyDescent="0.45">
      <c r="A28" s="8" t="s">
        <v>146</v>
      </c>
      <c r="B28" s="16">
        <f>$B$12</f>
        <v>0.75</v>
      </c>
      <c r="C28" s="12">
        <v>0</v>
      </c>
      <c r="D28" s="10">
        <v>1</v>
      </c>
      <c r="E28" s="10">
        <v>0</v>
      </c>
      <c r="F28" s="8"/>
      <c r="G28" s="10">
        <f>B28*D28</f>
        <v>0.75</v>
      </c>
      <c r="H28" s="10">
        <f>B28*E28</f>
        <v>0</v>
      </c>
    </row>
    <row r="29" spans="1:9" x14ac:dyDescent="0.45">
      <c r="A29" s="8" t="s">
        <v>143</v>
      </c>
      <c r="B29" s="16">
        <f>$C$12</f>
        <v>0.25</v>
      </c>
      <c r="C29" s="12">
        <v>1</v>
      </c>
      <c r="D29" s="10">
        <f>1-$B$17/100</f>
        <v>0.85</v>
      </c>
      <c r="E29" s="10">
        <f>$B$17/100</f>
        <v>0.15</v>
      </c>
      <c r="F29" s="8"/>
      <c r="G29" s="10">
        <f>B29*D29</f>
        <v>0.21249999999999999</v>
      </c>
      <c r="H29" s="10">
        <f>B29*E29</f>
        <v>3.7499999999999999E-2</v>
      </c>
    </row>
    <row r="30" spans="1:9" x14ac:dyDescent="0.45">
      <c r="A30" s="2" t="s">
        <v>334</v>
      </c>
    </row>
    <row r="32" spans="1:9" x14ac:dyDescent="0.45">
      <c r="A32" s="3" t="s">
        <v>335</v>
      </c>
      <c r="B32" s="3"/>
      <c r="C32" s="3"/>
      <c r="D32" s="3"/>
      <c r="E32" s="3"/>
      <c r="F32" s="3"/>
      <c r="G32" s="3"/>
      <c r="H32" s="3"/>
      <c r="I32" s="3"/>
    </row>
    <row r="33" spans="1:9" x14ac:dyDescent="0.45">
      <c r="A33" s="2" t="s">
        <v>336</v>
      </c>
    </row>
    <row r="34" spans="1:9" x14ac:dyDescent="0.45">
      <c r="A34" s="6" t="s">
        <v>337</v>
      </c>
      <c r="B34" s="6" t="s">
        <v>51</v>
      </c>
      <c r="C34" s="6" t="s">
        <v>338</v>
      </c>
    </row>
    <row r="35" spans="1:9" x14ac:dyDescent="0.45">
      <c r="A35" s="24">
        <v>1</v>
      </c>
      <c r="B35" s="17">
        <v>0.8</v>
      </c>
      <c r="C35" s="15" t="s">
        <v>339</v>
      </c>
    </row>
    <row r="36" spans="1:9" x14ac:dyDescent="0.45">
      <c r="A36" s="24">
        <v>2</v>
      </c>
      <c r="B36" s="17">
        <v>0.15</v>
      </c>
      <c r="C36" s="8"/>
    </row>
    <row r="37" spans="1:9" x14ac:dyDescent="0.45">
      <c r="A37" s="24">
        <v>3</v>
      </c>
      <c r="B37" s="17">
        <v>0.05</v>
      </c>
      <c r="C37" s="8"/>
    </row>
    <row r="38" spans="1:9" x14ac:dyDescent="0.45">
      <c r="A38" s="7" t="s">
        <v>340</v>
      </c>
      <c r="B38" s="13">
        <f>SUMPRODUCT(A35:A37,B35:B37)</f>
        <v>1.25</v>
      </c>
    </row>
    <row r="40" spans="1:9" x14ac:dyDescent="0.45">
      <c r="A40" s="3" t="s">
        <v>341</v>
      </c>
      <c r="B40" s="3"/>
      <c r="C40" s="3"/>
      <c r="D40" s="3"/>
      <c r="E40" s="3"/>
      <c r="F40" s="3"/>
      <c r="G40" s="3"/>
      <c r="H40" s="3"/>
      <c r="I40" s="3"/>
    </row>
    <row r="41" spans="1:9" x14ac:dyDescent="0.45">
      <c r="A41" s="2" t="s">
        <v>342</v>
      </c>
    </row>
    <row r="42" spans="1:9" x14ac:dyDescent="0.45">
      <c r="A42" s="5" t="s">
        <v>343</v>
      </c>
      <c r="B42" s="12">
        <v>17</v>
      </c>
    </row>
    <row r="43" spans="1:9" x14ac:dyDescent="0.45">
      <c r="A43" s="5" t="s">
        <v>344</v>
      </c>
      <c r="B43" s="22">
        <v>3</v>
      </c>
    </row>
    <row r="44" spans="1:9" x14ac:dyDescent="0.45">
      <c r="A44" s="5" t="s">
        <v>345</v>
      </c>
      <c r="B44" s="17">
        <f>1-COMBIN($B$42-1,$B$43)/COMBIN($B$42,$B$43)</f>
        <v>0.17647058823529416</v>
      </c>
      <c r="C44" s="2" t="s">
        <v>346</v>
      </c>
    </row>
    <row r="45" spans="1:9" x14ac:dyDescent="0.45">
      <c r="A45" s="5" t="s">
        <v>347</v>
      </c>
      <c r="B45" s="22">
        <v>10</v>
      </c>
    </row>
    <row r="46" spans="1:9" x14ac:dyDescent="0.45">
      <c r="A46" s="5" t="s">
        <v>348</v>
      </c>
      <c r="B46" s="17">
        <f>IF($B$45&gt;0,1/$B$45,0)</f>
        <v>0.1</v>
      </c>
      <c r="C46" s="2" t="s">
        <v>349</v>
      </c>
    </row>
    <row r="47" spans="1:9" x14ac:dyDescent="0.45">
      <c r="A47" s="5" t="s">
        <v>350</v>
      </c>
      <c r="B47" s="12">
        <v>3</v>
      </c>
      <c r="C47" s="2" t="s">
        <v>351</v>
      </c>
    </row>
    <row r="48" spans="1:9" x14ac:dyDescent="0.45">
      <c r="A48" s="5" t="s">
        <v>352</v>
      </c>
      <c r="B48" s="17">
        <f>IF($B$45&gt;0,MIN(1,3/$B$45),0)</f>
        <v>0.3</v>
      </c>
    </row>
    <row r="50" spans="1:9" x14ac:dyDescent="0.45">
      <c r="A50" s="3" t="s">
        <v>353</v>
      </c>
      <c r="B50" s="3"/>
      <c r="C50" s="3"/>
      <c r="D50" s="3"/>
      <c r="E50" s="3"/>
      <c r="F50" s="3"/>
      <c r="G50" s="3"/>
      <c r="H50" s="3"/>
      <c r="I50" s="3"/>
    </row>
    <row r="51" spans="1:9" x14ac:dyDescent="0.45">
      <c r="A51" s="6" t="s">
        <v>137</v>
      </c>
      <c r="B51" s="6" t="s">
        <v>354</v>
      </c>
      <c r="C51" s="6" t="s">
        <v>355</v>
      </c>
      <c r="D51" s="6" t="s">
        <v>356</v>
      </c>
      <c r="E51" s="6" t="s">
        <v>357</v>
      </c>
      <c r="F51" s="6" t="s">
        <v>358</v>
      </c>
      <c r="G51" s="6" t="s">
        <v>359</v>
      </c>
      <c r="H51" s="6" t="s">
        <v>360</v>
      </c>
    </row>
    <row r="52" spans="1:9" x14ac:dyDescent="0.45">
      <c r="A52" s="8" t="s">
        <v>146</v>
      </c>
      <c r="B52" s="25">
        <v>25</v>
      </c>
      <c r="C52" s="25">
        <v>20</v>
      </c>
      <c r="D52" s="23">
        <f>B52+C52*0</f>
        <v>25</v>
      </c>
      <c r="E52" s="23">
        <f>B52+C52*1</f>
        <v>45</v>
      </c>
      <c r="F52" s="23">
        <f>B52+C52*2</f>
        <v>65</v>
      </c>
      <c r="G52" s="23">
        <f>B52+C52*3</f>
        <v>85</v>
      </c>
      <c r="H52" s="23">
        <f>B52+C52*4</f>
        <v>105</v>
      </c>
    </row>
    <row r="53" spans="1:9" x14ac:dyDescent="0.45">
      <c r="A53" s="8" t="s">
        <v>143</v>
      </c>
      <c r="B53" s="25">
        <v>50</v>
      </c>
      <c r="C53" s="25">
        <v>20</v>
      </c>
      <c r="D53" s="23">
        <f>B53+C53*0</f>
        <v>50</v>
      </c>
      <c r="E53" s="23">
        <f>B53+C53*1</f>
        <v>70</v>
      </c>
      <c r="F53" s="23">
        <f>B53+C53*2</f>
        <v>90</v>
      </c>
      <c r="G53" s="23">
        <f>B53+C53*3</f>
        <v>110</v>
      </c>
      <c r="H53" s="23">
        <f>B53+C53*4</f>
        <v>130</v>
      </c>
    </row>
    <row r="54" spans="1:9" x14ac:dyDescent="0.45">
      <c r="A54" s="8" t="s">
        <v>142</v>
      </c>
      <c r="B54" s="25">
        <v>100</v>
      </c>
      <c r="C54" s="25">
        <v>20</v>
      </c>
      <c r="D54" s="23">
        <f>B54+C54*0</f>
        <v>100</v>
      </c>
      <c r="E54" s="23">
        <f>B54+C54*1</f>
        <v>120</v>
      </c>
      <c r="F54" s="23">
        <f>B54+C54*2</f>
        <v>140</v>
      </c>
      <c r="G54" s="23">
        <f>B54+C54*3</f>
        <v>160</v>
      </c>
      <c r="H54" s="23">
        <f>B54+C54*4</f>
        <v>180</v>
      </c>
    </row>
    <row r="55" spans="1:9" x14ac:dyDescent="0.45">
      <c r="A55" s="8" t="s">
        <v>141</v>
      </c>
      <c r="B55" s="25">
        <v>150</v>
      </c>
      <c r="C55" s="25">
        <v>20</v>
      </c>
      <c r="D55" s="23">
        <f>B55+C55*0</f>
        <v>150</v>
      </c>
      <c r="E55" s="23">
        <f>B55+C55*1</f>
        <v>170</v>
      </c>
      <c r="F55" s="23">
        <f>B55+C55*2</f>
        <v>190</v>
      </c>
      <c r="G55" s="23">
        <f>B55+C55*3</f>
        <v>210</v>
      </c>
      <c r="H55" s="23">
        <f>B55+C55*4</f>
        <v>230</v>
      </c>
    </row>
    <row r="56" spans="1:9" x14ac:dyDescent="0.45">
      <c r="A56" s="8" t="s">
        <v>140</v>
      </c>
      <c r="B56" s="25">
        <v>200</v>
      </c>
      <c r="C56" s="25">
        <v>20</v>
      </c>
      <c r="D56" s="23">
        <f>B56+C56*0</f>
        <v>200</v>
      </c>
      <c r="E56" s="23">
        <f>B56+C56*1</f>
        <v>220</v>
      </c>
      <c r="F56" s="23">
        <f>B56+C56*2</f>
        <v>240</v>
      </c>
      <c r="G56" s="23">
        <f>B56+C56*3</f>
        <v>260</v>
      </c>
      <c r="H56" s="23">
        <f>B56+C56*4</f>
        <v>280</v>
      </c>
    </row>
    <row r="57" spans="1:9" x14ac:dyDescent="0.45">
      <c r="A57" s="7" t="s">
        <v>361</v>
      </c>
      <c r="B57" s="26">
        <f>G21*D52+G22*D53+H22*E53+G23*D54+H23*E54+I23*F54</f>
        <v>46.7</v>
      </c>
    </row>
    <row r="59" spans="1:9" x14ac:dyDescent="0.45">
      <c r="A59" s="6" t="s">
        <v>362</v>
      </c>
      <c r="B59" s="6" t="s">
        <v>363</v>
      </c>
      <c r="C59" s="6" t="s">
        <v>52</v>
      </c>
    </row>
    <row r="60" spans="1:9" x14ac:dyDescent="0.45">
      <c r="A60" s="8" t="s">
        <v>364</v>
      </c>
      <c r="B60" s="25">
        <v>15</v>
      </c>
      <c r="C60" s="15" t="s">
        <v>365</v>
      </c>
    </row>
    <row r="61" spans="1:9" x14ac:dyDescent="0.45">
      <c r="A61" s="8" t="s">
        <v>366</v>
      </c>
      <c r="B61" s="25">
        <v>30</v>
      </c>
      <c r="C61" s="15" t="s">
        <v>367</v>
      </c>
    </row>
    <row r="62" spans="1:9" x14ac:dyDescent="0.45">
      <c r="A62" s="8" t="s">
        <v>368</v>
      </c>
      <c r="B62" s="25">
        <v>75</v>
      </c>
      <c r="C62" s="15"/>
    </row>
    <row r="63" spans="1:9" x14ac:dyDescent="0.45">
      <c r="A63" s="8" t="s">
        <v>369</v>
      </c>
      <c r="B63" s="25">
        <v>100</v>
      </c>
      <c r="C63" s="15"/>
    </row>
    <row r="64" spans="1:9" x14ac:dyDescent="0.45">
      <c r="A64" s="8" t="s">
        <v>370</v>
      </c>
      <c r="B64" s="19" t="s">
        <v>371</v>
      </c>
      <c r="C64" s="15" t="s">
        <v>372</v>
      </c>
    </row>
    <row r="65" spans="1:2" x14ac:dyDescent="0.45">
      <c r="A65" s="6" t="s">
        <v>373</v>
      </c>
      <c r="B65" s="6" t="s">
        <v>374</v>
      </c>
    </row>
    <row r="66" spans="1:2" x14ac:dyDescent="0.45">
      <c r="A66" s="12">
        <v>0</v>
      </c>
      <c r="B66" s="23">
        <f t="shared" ref="B66:B71" si="0">150*2^A66</f>
        <v>150</v>
      </c>
    </row>
    <row r="67" spans="1:2" x14ac:dyDescent="0.45">
      <c r="A67" s="12">
        <v>1</v>
      </c>
      <c r="B67" s="23">
        <f t="shared" si="0"/>
        <v>300</v>
      </c>
    </row>
    <row r="68" spans="1:2" x14ac:dyDescent="0.45">
      <c r="A68" s="12">
        <v>2</v>
      </c>
      <c r="B68" s="23">
        <f t="shared" si="0"/>
        <v>600</v>
      </c>
    </row>
    <row r="69" spans="1:2" x14ac:dyDescent="0.45">
      <c r="A69" s="12">
        <v>3</v>
      </c>
      <c r="B69" s="23">
        <f t="shared" si="0"/>
        <v>1200</v>
      </c>
    </row>
    <row r="70" spans="1:2" x14ac:dyDescent="0.45">
      <c r="A70" s="12">
        <v>4</v>
      </c>
      <c r="B70" s="23">
        <f t="shared" si="0"/>
        <v>2400</v>
      </c>
    </row>
    <row r="71" spans="1:2" x14ac:dyDescent="0.45">
      <c r="A71" s="12">
        <v>5</v>
      </c>
      <c r="B71" s="23">
        <f t="shared" si="0"/>
        <v>4800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0"/>
  <sheetViews>
    <sheetView showGridLines="0" workbookViewId="0"/>
  </sheetViews>
  <sheetFormatPr baseColWidth="10" defaultColWidth="9.06640625" defaultRowHeight="14.25" x14ac:dyDescent="0.45"/>
  <cols>
    <col min="1" max="1" width="26" customWidth="1"/>
    <col min="2" max="2" width="18" customWidth="1"/>
    <col min="3" max="4" width="9" customWidth="1"/>
    <col min="5" max="5" width="11" customWidth="1"/>
    <col min="6" max="6" width="13" customWidth="1"/>
    <col min="7" max="7" width="9" customWidth="1"/>
    <col min="8" max="8" width="11" customWidth="1"/>
    <col min="9" max="9" width="13" customWidth="1"/>
    <col min="10" max="10" width="44" customWidth="1"/>
  </cols>
  <sheetData>
    <row r="1" spans="1:10" ht="17.649999999999999" x14ac:dyDescent="0.5">
      <c r="A1" s="1" t="s">
        <v>375</v>
      </c>
    </row>
    <row r="2" spans="1:10" x14ac:dyDescent="0.45">
      <c r="A2" s="2" t="s">
        <v>376</v>
      </c>
    </row>
    <row r="4" spans="1:10" x14ac:dyDescent="0.45">
      <c r="A4" s="3" t="s">
        <v>377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45">
      <c r="A5" s="6" t="s">
        <v>378</v>
      </c>
      <c r="B5" s="6" t="s">
        <v>379</v>
      </c>
      <c r="C5" s="6" t="s">
        <v>380</v>
      </c>
      <c r="D5" s="6" t="s">
        <v>381</v>
      </c>
      <c r="E5" s="6" t="s">
        <v>382</v>
      </c>
      <c r="F5" s="6" t="s">
        <v>383</v>
      </c>
      <c r="G5" s="6"/>
      <c r="H5" s="6"/>
      <c r="I5" s="6"/>
      <c r="J5" s="6" t="s">
        <v>384</v>
      </c>
    </row>
    <row r="6" spans="1:10" x14ac:dyDescent="0.45">
      <c r="A6" s="8" t="s">
        <v>385</v>
      </c>
      <c r="B6" s="8" t="s">
        <v>386</v>
      </c>
      <c r="C6" s="19">
        <v>80</v>
      </c>
      <c r="D6" s="19">
        <v>1</v>
      </c>
      <c r="E6" s="19" t="s">
        <v>387</v>
      </c>
      <c r="F6" s="8"/>
      <c r="G6" s="8"/>
      <c r="H6" s="8"/>
      <c r="I6" s="8"/>
      <c r="J6" s="15" t="s">
        <v>388</v>
      </c>
    </row>
    <row r="7" spans="1:10" x14ac:dyDescent="0.45">
      <c r="A7" s="8" t="s">
        <v>389</v>
      </c>
      <c r="B7" s="8" t="s">
        <v>390</v>
      </c>
      <c r="C7" s="19">
        <v>50</v>
      </c>
      <c r="D7" s="19">
        <v>1</v>
      </c>
      <c r="E7" s="19">
        <v>1</v>
      </c>
      <c r="F7" s="8" t="s">
        <v>391</v>
      </c>
      <c r="G7" s="8"/>
      <c r="H7" s="8"/>
      <c r="I7" s="8"/>
      <c r="J7" s="15" t="s">
        <v>392</v>
      </c>
    </row>
    <row r="8" spans="1:10" x14ac:dyDescent="0.45">
      <c r="A8" s="8" t="s">
        <v>393</v>
      </c>
      <c r="B8" s="8" t="s">
        <v>394</v>
      </c>
      <c r="C8" s="19">
        <v>40</v>
      </c>
      <c r="D8" s="19">
        <v>2</v>
      </c>
      <c r="E8" s="19">
        <v>1</v>
      </c>
      <c r="F8" s="8"/>
      <c r="G8" s="8"/>
      <c r="H8" s="8"/>
      <c r="I8" s="8"/>
      <c r="J8" s="15" t="s">
        <v>395</v>
      </c>
    </row>
    <row r="9" spans="1:10" x14ac:dyDescent="0.45">
      <c r="A9" s="8" t="s">
        <v>396</v>
      </c>
      <c r="B9" s="8" t="s">
        <v>397</v>
      </c>
      <c r="C9" s="19">
        <v>30</v>
      </c>
      <c r="D9" s="19">
        <v>1</v>
      </c>
      <c r="E9" s="19">
        <v>1</v>
      </c>
      <c r="F9" s="8" t="s">
        <v>391</v>
      </c>
      <c r="G9" s="8"/>
      <c r="H9" s="8"/>
      <c r="I9" s="8"/>
      <c r="J9" s="15" t="s">
        <v>398</v>
      </c>
    </row>
    <row r="10" spans="1:10" x14ac:dyDescent="0.45">
      <c r="A10" s="8" t="s">
        <v>399</v>
      </c>
      <c r="B10" s="8" t="s">
        <v>400</v>
      </c>
      <c r="C10" s="19">
        <v>80</v>
      </c>
      <c r="D10" s="19">
        <v>1</v>
      </c>
      <c r="E10" s="19">
        <v>1</v>
      </c>
      <c r="F10" s="8"/>
      <c r="G10" s="8"/>
      <c r="H10" s="8"/>
      <c r="I10" s="8"/>
      <c r="J10" s="15" t="s">
        <v>388</v>
      </c>
    </row>
    <row r="11" spans="1:10" x14ac:dyDescent="0.45">
      <c r="A11" s="8" t="s">
        <v>401</v>
      </c>
      <c r="B11" s="8" t="s">
        <v>402</v>
      </c>
      <c r="C11" s="19">
        <v>100</v>
      </c>
      <c r="D11" s="19">
        <v>1</v>
      </c>
      <c r="E11" s="19" t="s">
        <v>387</v>
      </c>
      <c r="F11" s="8"/>
      <c r="G11" s="8"/>
      <c r="H11" s="8"/>
      <c r="I11" s="8"/>
      <c r="J11" s="15" t="s">
        <v>403</v>
      </c>
    </row>
    <row r="12" spans="1:10" x14ac:dyDescent="0.45">
      <c r="A12" s="8" t="s">
        <v>404</v>
      </c>
      <c r="B12" s="8" t="s">
        <v>405</v>
      </c>
      <c r="C12" s="19">
        <v>50</v>
      </c>
      <c r="D12" s="19">
        <v>1</v>
      </c>
      <c r="E12" s="19">
        <v>10</v>
      </c>
      <c r="F12" s="8"/>
      <c r="G12" s="8"/>
      <c r="H12" s="8"/>
      <c r="I12" s="8"/>
      <c r="J12" s="15" t="s">
        <v>406</v>
      </c>
    </row>
    <row r="13" spans="1:10" x14ac:dyDescent="0.45">
      <c r="A13" s="8" t="s">
        <v>407</v>
      </c>
      <c r="B13" s="8" t="s">
        <v>408</v>
      </c>
      <c r="C13" s="19">
        <v>60</v>
      </c>
      <c r="D13" s="19">
        <v>2</v>
      </c>
      <c r="E13" s="19">
        <v>1</v>
      </c>
      <c r="F13" s="8"/>
      <c r="G13" s="8"/>
      <c r="H13" s="8"/>
      <c r="I13" s="8"/>
      <c r="J13" s="15" t="s">
        <v>409</v>
      </c>
    </row>
    <row r="14" spans="1:10" x14ac:dyDescent="0.45">
      <c r="A14" s="8" t="s">
        <v>410</v>
      </c>
      <c r="B14" s="8" t="s">
        <v>411</v>
      </c>
      <c r="C14" s="19">
        <v>100</v>
      </c>
      <c r="D14" s="19">
        <v>1</v>
      </c>
      <c r="E14" s="19" t="s">
        <v>387</v>
      </c>
      <c r="F14" s="8"/>
      <c r="G14" s="8"/>
      <c r="H14" s="8"/>
      <c r="I14" s="8"/>
      <c r="J14" s="15" t="s">
        <v>406</v>
      </c>
    </row>
    <row r="15" spans="1:10" x14ac:dyDescent="0.45">
      <c r="A15" s="8" t="s">
        <v>412</v>
      </c>
      <c r="B15" s="8" t="s">
        <v>413</v>
      </c>
      <c r="C15" s="19">
        <v>80</v>
      </c>
      <c r="D15" s="19">
        <v>1</v>
      </c>
      <c r="E15" s="19" t="s">
        <v>387</v>
      </c>
      <c r="F15" s="8"/>
      <c r="G15" s="8"/>
      <c r="H15" s="8"/>
      <c r="I15" s="8"/>
      <c r="J15" s="15" t="s">
        <v>388</v>
      </c>
    </row>
    <row r="16" spans="1:10" x14ac:dyDescent="0.45">
      <c r="A16" s="8" t="s">
        <v>414</v>
      </c>
      <c r="B16" s="8" t="s">
        <v>415</v>
      </c>
      <c r="C16" s="19">
        <v>50</v>
      </c>
      <c r="D16" s="19">
        <v>1</v>
      </c>
      <c r="E16" s="19" t="s">
        <v>387</v>
      </c>
      <c r="F16" s="8"/>
      <c r="G16" s="8"/>
      <c r="H16" s="8"/>
      <c r="I16" s="8"/>
      <c r="J16" s="15" t="s">
        <v>406</v>
      </c>
    </row>
    <row r="17" spans="1:10" x14ac:dyDescent="0.45">
      <c r="A17" s="2" t="s">
        <v>416</v>
      </c>
    </row>
    <row r="19" spans="1:10" x14ac:dyDescent="0.45">
      <c r="A19" s="3" t="s">
        <v>417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45">
      <c r="A20" s="2" t="s">
        <v>418</v>
      </c>
    </row>
    <row r="21" spans="1:10" x14ac:dyDescent="0.45">
      <c r="A21" s="2" t="s">
        <v>419</v>
      </c>
    </row>
    <row r="22" spans="1:10" x14ac:dyDescent="0.45">
      <c r="A22" s="6" t="s">
        <v>20</v>
      </c>
      <c r="B22" s="6" t="s">
        <v>378</v>
      </c>
      <c r="C22" s="6" t="s">
        <v>380</v>
      </c>
      <c r="D22" s="6" t="s">
        <v>420</v>
      </c>
      <c r="E22" s="6" t="s">
        <v>421</v>
      </c>
      <c r="F22" s="6" t="s">
        <v>422</v>
      </c>
      <c r="G22" s="6" t="s">
        <v>423</v>
      </c>
      <c r="H22" s="6" t="s">
        <v>424</v>
      </c>
      <c r="I22" s="6" t="s">
        <v>425</v>
      </c>
      <c r="J22" s="6" t="s">
        <v>426</v>
      </c>
    </row>
    <row r="23" spans="1:10" x14ac:dyDescent="0.45">
      <c r="A23" s="8" t="s">
        <v>427</v>
      </c>
      <c r="B23" s="8" t="s">
        <v>385</v>
      </c>
      <c r="C23" s="12">
        <v>80</v>
      </c>
      <c r="D23" s="12">
        <v>0</v>
      </c>
      <c r="E23" s="10">
        <f>IF(D23=1,C23/SUMPRODUCT(C23:C33,D23:D33),0)</f>
        <v>0</v>
      </c>
      <c r="F23" s="17">
        <v>0</v>
      </c>
      <c r="G23" s="12">
        <v>0</v>
      </c>
      <c r="H23" s="10">
        <f>IF(G23=1,C23/SUMPRODUCT(C23:C33,G23:G33),0)</f>
        <v>0</v>
      </c>
      <c r="I23" s="17">
        <v>0</v>
      </c>
      <c r="J23" s="15" t="s">
        <v>428</v>
      </c>
    </row>
    <row r="24" spans="1:10" x14ac:dyDescent="0.45">
      <c r="A24" s="8" t="s">
        <v>427</v>
      </c>
      <c r="B24" s="8" t="s">
        <v>389</v>
      </c>
      <c r="C24" s="12">
        <v>50</v>
      </c>
      <c r="D24" s="12">
        <v>1</v>
      </c>
      <c r="E24" s="10">
        <f>IF(D24=1,C24/SUMPRODUCT(C23:C33,D23:D33),0)</f>
        <v>0.33333333333333331</v>
      </c>
      <c r="F24" s="17">
        <v>1</v>
      </c>
      <c r="G24" s="12">
        <v>1</v>
      </c>
      <c r="H24" s="10">
        <f>IF(G24=1,C24/SUMPRODUCT(C23:C33,G23:G33),0)</f>
        <v>0.2</v>
      </c>
      <c r="I24" s="17">
        <v>0.70884787726892984</v>
      </c>
      <c r="J24" s="15"/>
    </row>
    <row r="25" spans="1:10" x14ac:dyDescent="0.45">
      <c r="A25" s="8" t="s">
        <v>427</v>
      </c>
      <c r="B25" s="8" t="s">
        <v>393</v>
      </c>
      <c r="C25" s="12">
        <v>40</v>
      </c>
      <c r="D25" s="12">
        <v>0</v>
      </c>
      <c r="E25" s="10">
        <f>IF(D25=1,C25/SUMPRODUCT(C23:C33,D23:D33),0)</f>
        <v>0</v>
      </c>
      <c r="F25" s="17">
        <v>0</v>
      </c>
      <c r="G25" s="12">
        <v>1</v>
      </c>
      <c r="H25" s="10">
        <f>IF(G25=1,C25/SUMPRODUCT(C23:C33,G23:G33),0)</f>
        <v>0.16</v>
      </c>
      <c r="I25" s="17">
        <v>0.61296574770258971</v>
      </c>
      <c r="J25" s="15" t="s">
        <v>429</v>
      </c>
    </row>
    <row r="26" spans="1:10" x14ac:dyDescent="0.45">
      <c r="A26" s="8" t="s">
        <v>427</v>
      </c>
      <c r="B26" s="8" t="s">
        <v>396</v>
      </c>
      <c r="C26" s="12">
        <v>30</v>
      </c>
      <c r="D26" s="12">
        <v>0</v>
      </c>
      <c r="E26" s="10">
        <f>IF(D26=1,C26/SUMPRODUCT(C23:C33,D23:D33),0)</f>
        <v>0</v>
      </c>
      <c r="F26" s="17">
        <v>0</v>
      </c>
      <c r="G26" s="12">
        <v>0</v>
      </c>
      <c r="H26" s="10">
        <f>IF(G26=1,C26/SUMPRODUCT(C23:C33,G23:G33),0)</f>
        <v>0</v>
      </c>
      <c r="I26" s="17">
        <v>0</v>
      </c>
      <c r="J26" s="15" t="s">
        <v>430</v>
      </c>
    </row>
    <row r="27" spans="1:10" x14ac:dyDescent="0.45">
      <c r="A27" s="8" t="s">
        <v>427</v>
      </c>
      <c r="B27" s="8" t="s">
        <v>399</v>
      </c>
      <c r="C27" s="12">
        <v>80</v>
      </c>
      <c r="D27" s="12">
        <v>0</v>
      </c>
      <c r="E27" s="10">
        <f>IF(D27=1,C27/SUMPRODUCT(C23:C33,D23:D33),0)</f>
        <v>0</v>
      </c>
      <c r="F27" s="17">
        <v>0</v>
      </c>
      <c r="G27" s="12">
        <v>0</v>
      </c>
      <c r="H27" s="10">
        <f>IF(G27=1,C27/SUMPRODUCT(C23:C33,G23:G33),0)</f>
        <v>0</v>
      </c>
      <c r="I27" s="17">
        <v>0</v>
      </c>
      <c r="J27" s="15" t="s">
        <v>428</v>
      </c>
    </row>
    <row r="28" spans="1:10" x14ac:dyDescent="0.45">
      <c r="A28" s="8" t="s">
        <v>427</v>
      </c>
      <c r="B28" s="8" t="s">
        <v>401</v>
      </c>
      <c r="C28" s="12">
        <v>100</v>
      </c>
      <c r="D28" s="12">
        <v>1</v>
      </c>
      <c r="E28" s="10">
        <f>IF(D28=1,C28/SUMPRODUCT(C23:C33,D23:D33),0)</f>
        <v>0.66666666666666663</v>
      </c>
      <c r="F28" s="17">
        <v>1</v>
      </c>
      <c r="G28" s="12">
        <v>1</v>
      </c>
      <c r="H28" s="10">
        <f>IF(G28=1,C28/SUMPRODUCT(C23:C33,G23:G33),0)</f>
        <v>0.4</v>
      </c>
      <c r="I28" s="17">
        <v>0.9034461152882205</v>
      </c>
      <c r="J28" s="15"/>
    </row>
    <row r="29" spans="1:10" x14ac:dyDescent="0.45">
      <c r="A29" s="8" t="s">
        <v>427</v>
      </c>
      <c r="B29" s="8" t="s">
        <v>404</v>
      </c>
      <c r="C29" s="12">
        <v>50</v>
      </c>
      <c r="D29" s="12">
        <v>0</v>
      </c>
      <c r="E29" s="10">
        <f>IF(D29=1,C29/SUMPRODUCT(C23:C33,D23:D33),0)</f>
        <v>0</v>
      </c>
      <c r="F29" s="17">
        <v>0</v>
      </c>
      <c r="G29" s="12">
        <v>0</v>
      </c>
      <c r="H29" s="10">
        <f>IF(G29=1,C29/SUMPRODUCT(C23:C33,G23:G33),0)</f>
        <v>0</v>
      </c>
      <c r="I29" s="17">
        <v>0</v>
      </c>
      <c r="J29" s="15" t="s">
        <v>431</v>
      </c>
    </row>
    <row r="30" spans="1:10" x14ac:dyDescent="0.45">
      <c r="A30" s="8" t="s">
        <v>427</v>
      </c>
      <c r="B30" s="8" t="s">
        <v>407</v>
      </c>
      <c r="C30" s="12">
        <v>60</v>
      </c>
      <c r="D30" s="12">
        <v>0</v>
      </c>
      <c r="E30" s="10">
        <f>IF(D30=1,C30/SUMPRODUCT(C23:C33,D23:D33),0)</f>
        <v>0</v>
      </c>
      <c r="F30" s="17">
        <v>0</v>
      </c>
      <c r="G30" s="12">
        <v>1</v>
      </c>
      <c r="H30" s="10">
        <f>IF(G30=1,C30/SUMPRODUCT(C23:C33,G23:G33),0)</f>
        <v>0.24</v>
      </c>
      <c r="I30" s="17">
        <v>0.77474025974025962</v>
      </c>
      <c r="J30" s="15" t="s">
        <v>429</v>
      </c>
    </row>
    <row r="31" spans="1:10" x14ac:dyDescent="0.45">
      <c r="A31" s="8" t="s">
        <v>427</v>
      </c>
      <c r="B31" s="8" t="s">
        <v>410</v>
      </c>
      <c r="C31" s="12">
        <v>100</v>
      </c>
      <c r="D31" s="12">
        <v>0</v>
      </c>
      <c r="E31" s="10">
        <f>IF(D31=1,C31/SUMPRODUCT(C23:C33,D23:D33),0)</f>
        <v>0</v>
      </c>
      <c r="F31" s="17">
        <v>0</v>
      </c>
      <c r="G31" s="12">
        <v>0</v>
      </c>
      <c r="H31" s="10">
        <f>IF(G31=1,C31/SUMPRODUCT(C23:C33,G23:G33),0)</f>
        <v>0</v>
      </c>
      <c r="I31" s="17">
        <v>0</v>
      </c>
      <c r="J31" s="15" t="s">
        <v>431</v>
      </c>
    </row>
    <row r="32" spans="1:10" x14ac:dyDescent="0.45">
      <c r="A32" s="8" t="s">
        <v>427</v>
      </c>
      <c r="B32" s="8" t="s">
        <v>412</v>
      </c>
      <c r="C32" s="12">
        <v>80</v>
      </c>
      <c r="D32" s="12">
        <v>0</v>
      </c>
      <c r="E32" s="10">
        <f>IF(D32=1,C32/SUMPRODUCT(C23:C33,D23:D33),0)</f>
        <v>0</v>
      </c>
      <c r="F32" s="17">
        <v>0</v>
      </c>
      <c r="G32" s="12">
        <v>0</v>
      </c>
      <c r="H32" s="10">
        <f>IF(G32=1,C32/SUMPRODUCT(C23:C33,G23:G33),0)</f>
        <v>0</v>
      </c>
      <c r="I32" s="17">
        <v>0</v>
      </c>
      <c r="J32" s="15" t="s">
        <v>428</v>
      </c>
    </row>
    <row r="33" spans="1:10" x14ac:dyDescent="0.45">
      <c r="A33" s="8" t="s">
        <v>427</v>
      </c>
      <c r="B33" s="8" t="s">
        <v>414</v>
      </c>
      <c r="C33" s="12">
        <v>50</v>
      </c>
      <c r="D33" s="12">
        <v>0</v>
      </c>
      <c r="E33" s="10">
        <f>IF(D33=1,C33/SUMPRODUCT(C23:C33,D23:D33),0)</f>
        <v>0</v>
      </c>
      <c r="F33" s="17">
        <v>0</v>
      </c>
      <c r="G33" s="12">
        <v>0</v>
      </c>
      <c r="H33" s="10">
        <f>IF(G33=1,C33/SUMPRODUCT(C23:C33,G23:G33),0)</f>
        <v>0</v>
      </c>
      <c r="I33" s="17">
        <v>0</v>
      </c>
      <c r="J33" s="15" t="s">
        <v>431</v>
      </c>
    </row>
    <row r="34" spans="1:10" x14ac:dyDescent="0.45">
      <c r="A34" s="8" t="s">
        <v>432</v>
      </c>
      <c r="B34" s="8" t="s">
        <v>385</v>
      </c>
      <c r="C34" s="12">
        <v>80</v>
      </c>
      <c r="D34" s="12">
        <v>0</v>
      </c>
      <c r="E34" s="10">
        <f>IF(D34=1,C34/SUMPRODUCT(C34:C44,D34:D44),0)</f>
        <v>0</v>
      </c>
      <c r="F34" s="17">
        <v>0</v>
      </c>
      <c r="G34" s="12">
        <v>0</v>
      </c>
      <c r="H34" s="10">
        <f>IF(G34=1,C34/SUMPRODUCT(C34:C44,G34:G44),0)</f>
        <v>0</v>
      </c>
      <c r="I34" s="17">
        <v>0</v>
      </c>
      <c r="J34" s="15" t="s">
        <v>428</v>
      </c>
    </row>
    <row r="35" spans="1:10" x14ac:dyDescent="0.45">
      <c r="A35" s="8" t="s">
        <v>432</v>
      </c>
      <c r="B35" s="8" t="s">
        <v>389</v>
      </c>
      <c r="C35" s="12">
        <v>50</v>
      </c>
      <c r="D35" s="12">
        <v>0</v>
      </c>
      <c r="E35" s="10">
        <f>IF(D35=1,C35/SUMPRODUCT(C34:C44,D34:D44),0)</f>
        <v>0</v>
      </c>
      <c r="F35" s="17">
        <v>0</v>
      </c>
      <c r="G35" s="12">
        <v>0</v>
      </c>
      <c r="H35" s="10">
        <f>IF(G35=1,C35/SUMPRODUCT(C34:C44,G34:G44),0)</f>
        <v>0</v>
      </c>
      <c r="I35" s="17">
        <v>0</v>
      </c>
      <c r="J35" s="15" t="s">
        <v>433</v>
      </c>
    </row>
    <row r="36" spans="1:10" x14ac:dyDescent="0.45">
      <c r="A36" s="8" t="s">
        <v>432</v>
      </c>
      <c r="B36" s="8" t="s">
        <v>393</v>
      </c>
      <c r="C36" s="12">
        <v>40</v>
      </c>
      <c r="D36" s="12">
        <v>0</v>
      </c>
      <c r="E36" s="10">
        <f>IF(D36=1,C36/SUMPRODUCT(C34:C44,D34:D44),0)</f>
        <v>0</v>
      </c>
      <c r="F36" s="17">
        <v>0</v>
      </c>
      <c r="G36" s="12">
        <v>0</v>
      </c>
      <c r="H36" s="10">
        <f>IF(G36=1,C36/SUMPRODUCT(C34:C44,G34:G44),0)</f>
        <v>0</v>
      </c>
      <c r="I36" s="17">
        <v>0</v>
      </c>
      <c r="J36" s="15" t="s">
        <v>433</v>
      </c>
    </row>
    <row r="37" spans="1:10" x14ac:dyDescent="0.45">
      <c r="A37" s="8" t="s">
        <v>432</v>
      </c>
      <c r="B37" s="8" t="s">
        <v>396</v>
      </c>
      <c r="C37" s="12">
        <v>30</v>
      </c>
      <c r="D37" s="12">
        <v>0</v>
      </c>
      <c r="E37" s="10">
        <f>IF(D37=1,C37/SUMPRODUCT(C34:C44,D34:D44),0)</f>
        <v>0</v>
      </c>
      <c r="F37" s="17">
        <v>0</v>
      </c>
      <c r="G37" s="12">
        <v>0</v>
      </c>
      <c r="H37" s="10">
        <f>IF(G37=1,C37/SUMPRODUCT(C34:C44,G34:G44),0)</f>
        <v>0</v>
      </c>
      <c r="I37" s="17">
        <v>0</v>
      </c>
      <c r="J37" s="15" t="s">
        <v>430</v>
      </c>
    </row>
    <row r="38" spans="1:10" x14ac:dyDescent="0.45">
      <c r="A38" s="8" t="s">
        <v>432</v>
      </c>
      <c r="B38" s="8" t="s">
        <v>399</v>
      </c>
      <c r="C38" s="12">
        <v>80</v>
      </c>
      <c r="D38" s="12">
        <v>0</v>
      </c>
      <c r="E38" s="10">
        <f>IF(D38=1,C38/SUMPRODUCT(C34:C44,D34:D44),0)</f>
        <v>0</v>
      </c>
      <c r="F38" s="17">
        <v>0</v>
      </c>
      <c r="G38" s="12">
        <v>0</v>
      </c>
      <c r="H38" s="10">
        <f>IF(G38=1,C38/SUMPRODUCT(C34:C44,G34:G44),0)</f>
        <v>0</v>
      </c>
      <c r="I38" s="17">
        <v>0</v>
      </c>
      <c r="J38" s="15" t="s">
        <v>428</v>
      </c>
    </row>
    <row r="39" spans="1:10" x14ac:dyDescent="0.45">
      <c r="A39" s="8" t="s">
        <v>432</v>
      </c>
      <c r="B39" s="8" t="s">
        <v>401</v>
      </c>
      <c r="C39" s="12">
        <v>100</v>
      </c>
      <c r="D39" s="12">
        <v>0</v>
      </c>
      <c r="E39" s="10">
        <f>IF(D39=1,C39/SUMPRODUCT(C34:C44,D34:D44),0)</f>
        <v>0</v>
      </c>
      <c r="F39" s="17">
        <v>0</v>
      </c>
      <c r="G39" s="12">
        <v>0</v>
      </c>
      <c r="H39" s="10">
        <f>IF(G39=1,C39/SUMPRODUCT(C34:C44,G34:G44),0)</f>
        <v>0</v>
      </c>
      <c r="I39" s="17">
        <v>0</v>
      </c>
      <c r="J39" s="15" t="s">
        <v>431</v>
      </c>
    </row>
    <row r="40" spans="1:10" x14ac:dyDescent="0.45">
      <c r="A40" s="8" t="s">
        <v>432</v>
      </c>
      <c r="B40" s="8" t="s">
        <v>404</v>
      </c>
      <c r="C40" s="12">
        <v>50</v>
      </c>
      <c r="D40" s="12">
        <v>0</v>
      </c>
      <c r="E40" s="10">
        <f>IF(D40=1,C40/SUMPRODUCT(C34:C44,D34:D44),0)</f>
        <v>0</v>
      </c>
      <c r="F40" s="17">
        <v>0</v>
      </c>
      <c r="G40" s="12">
        <v>0</v>
      </c>
      <c r="H40" s="10">
        <f>IF(G40=1,C40/SUMPRODUCT(C34:C44,G34:G44),0)</f>
        <v>0</v>
      </c>
      <c r="I40" s="17">
        <v>0</v>
      </c>
      <c r="J40" s="15" t="s">
        <v>431</v>
      </c>
    </row>
    <row r="41" spans="1:10" x14ac:dyDescent="0.45">
      <c r="A41" s="8" t="s">
        <v>432</v>
      </c>
      <c r="B41" s="8" t="s">
        <v>407</v>
      </c>
      <c r="C41" s="12">
        <v>60</v>
      </c>
      <c r="D41" s="12">
        <v>0</v>
      </c>
      <c r="E41" s="10">
        <f>IF(D41=1,C41/SUMPRODUCT(C34:C44,D34:D44),0)</f>
        <v>0</v>
      </c>
      <c r="F41" s="17">
        <v>0</v>
      </c>
      <c r="G41" s="12">
        <v>1</v>
      </c>
      <c r="H41" s="10">
        <f>IF(G41=1,C41/SUMPRODUCT(C34:C44,G34:G44),0)</f>
        <v>1</v>
      </c>
      <c r="I41" s="17">
        <v>1</v>
      </c>
      <c r="J41" s="15" t="s">
        <v>429</v>
      </c>
    </row>
    <row r="42" spans="1:10" x14ac:dyDescent="0.45">
      <c r="A42" s="8" t="s">
        <v>432</v>
      </c>
      <c r="B42" s="8" t="s">
        <v>410</v>
      </c>
      <c r="C42" s="12">
        <v>100</v>
      </c>
      <c r="D42" s="12">
        <v>0</v>
      </c>
      <c r="E42" s="10">
        <f>IF(D42=1,C42/SUMPRODUCT(C34:C44,D34:D44),0)</f>
        <v>0</v>
      </c>
      <c r="F42" s="17">
        <v>0</v>
      </c>
      <c r="G42" s="12">
        <v>0</v>
      </c>
      <c r="H42" s="10">
        <f>IF(G42=1,C42/SUMPRODUCT(C34:C44,G34:G44),0)</f>
        <v>0</v>
      </c>
      <c r="I42" s="17">
        <v>0</v>
      </c>
      <c r="J42" s="15" t="s">
        <v>431</v>
      </c>
    </row>
    <row r="43" spans="1:10" x14ac:dyDescent="0.45">
      <c r="A43" s="8" t="s">
        <v>432</v>
      </c>
      <c r="B43" s="8" t="s">
        <v>412</v>
      </c>
      <c r="C43" s="12">
        <v>80</v>
      </c>
      <c r="D43" s="12">
        <v>0</v>
      </c>
      <c r="E43" s="10">
        <f>IF(D43=1,C43/SUMPRODUCT(C34:C44,D34:D44),0)</f>
        <v>0</v>
      </c>
      <c r="F43" s="17">
        <v>0</v>
      </c>
      <c r="G43" s="12">
        <v>0</v>
      </c>
      <c r="H43" s="10">
        <f>IF(G43=1,C43/SUMPRODUCT(C34:C44,G34:G44),0)</f>
        <v>0</v>
      </c>
      <c r="I43" s="17">
        <v>0</v>
      </c>
      <c r="J43" s="15" t="s">
        <v>428</v>
      </c>
    </row>
    <row r="44" spans="1:10" x14ac:dyDescent="0.45">
      <c r="A44" s="8" t="s">
        <v>432</v>
      </c>
      <c r="B44" s="8" t="s">
        <v>414</v>
      </c>
      <c r="C44" s="12">
        <v>50</v>
      </c>
      <c r="D44" s="12">
        <v>0</v>
      </c>
      <c r="E44" s="10">
        <f>IF(D44=1,C44/SUMPRODUCT(C34:C44,D34:D44),0)</f>
        <v>0</v>
      </c>
      <c r="F44" s="17">
        <v>0</v>
      </c>
      <c r="G44" s="12">
        <v>0</v>
      </c>
      <c r="H44" s="10">
        <f>IF(G44=1,C44/SUMPRODUCT(C34:C44,G34:G44),0)</f>
        <v>0</v>
      </c>
      <c r="I44" s="17">
        <v>0</v>
      </c>
      <c r="J44" s="15" t="s">
        <v>431</v>
      </c>
    </row>
    <row r="45" spans="1:10" x14ac:dyDescent="0.45">
      <c r="A45" s="8" t="s">
        <v>434</v>
      </c>
      <c r="B45" s="8" t="s">
        <v>385</v>
      </c>
      <c r="C45" s="12">
        <v>80</v>
      </c>
      <c r="D45" s="12">
        <v>0</v>
      </c>
      <c r="E45" s="10">
        <f>IF(D45=1,C45/SUMPRODUCT(C45:C55,D45:D55),0)</f>
        <v>0</v>
      </c>
      <c r="F45" s="17">
        <v>0</v>
      </c>
      <c r="G45" s="12">
        <v>0</v>
      </c>
      <c r="H45" s="10">
        <f>IF(G45=1,C45/SUMPRODUCT(C45:C55,G45:G55),0)</f>
        <v>0</v>
      </c>
      <c r="I45" s="17">
        <v>0</v>
      </c>
      <c r="J45" s="15" t="s">
        <v>428</v>
      </c>
    </row>
    <row r="46" spans="1:10" x14ac:dyDescent="0.45">
      <c r="A46" s="8" t="s">
        <v>434</v>
      </c>
      <c r="B46" s="8" t="s">
        <v>389</v>
      </c>
      <c r="C46" s="12">
        <v>50</v>
      </c>
      <c r="D46" s="12">
        <v>1</v>
      </c>
      <c r="E46" s="10">
        <f>IF(D46=1,C46/SUMPRODUCT(C45:C55,D45:D55),0)</f>
        <v>0.33333333333333331</v>
      </c>
      <c r="F46" s="17">
        <v>1</v>
      </c>
      <c r="G46" s="12">
        <v>1</v>
      </c>
      <c r="H46" s="10">
        <f>IF(G46=1,C46/SUMPRODUCT(C45:C55,G45:G55),0)</f>
        <v>0.2</v>
      </c>
      <c r="I46" s="17">
        <v>0.70884787726892984</v>
      </c>
      <c r="J46" s="15"/>
    </row>
    <row r="47" spans="1:10" x14ac:dyDescent="0.45">
      <c r="A47" s="8" t="s">
        <v>434</v>
      </c>
      <c r="B47" s="8" t="s">
        <v>393</v>
      </c>
      <c r="C47" s="12">
        <v>40</v>
      </c>
      <c r="D47" s="12">
        <v>0</v>
      </c>
      <c r="E47" s="10">
        <f>IF(D47=1,C47/SUMPRODUCT(C45:C55,D45:D55),0)</f>
        <v>0</v>
      </c>
      <c r="F47" s="17">
        <v>0</v>
      </c>
      <c r="G47" s="12">
        <v>1</v>
      </c>
      <c r="H47" s="10">
        <f>IF(G47=1,C47/SUMPRODUCT(C45:C55,G45:G55),0)</f>
        <v>0.16</v>
      </c>
      <c r="I47" s="17">
        <v>0.61296574770258971</v>
      </c>
      <c r="J47" s="15" t="s">
        <v>429</v>
      </c>
    </row>
    <row r="48" spans="1:10" x14ac:dyDescent="0.45">
      <c r="A48" s="8" t="s">
        <v>434</v>
      </c>
      <c r="B48" s="8" t="s">
        <v>396</v>
      </c>
      <c r="C48" s="12">
        <v>30</v>
      </c>
      <c r="D48" s="12">
        <v>0</v>
      </c>
      <c r="E48" s="10">
        <f>IF(D48=1,C48/SUMPRODUCT(C45:C55,D45:D55),0)</f>
        <v>0</v>
      </c>
      <c r="F48" s="17">
        <v>0</v>
      </c>
      <c r="G48" s="12">
        <v>0</v>
      </c>
      <c r="H48" s="10">
        <f>IF(G48=1,C48/SUMPRODUCT(C45:C55,G45:G55),0)</f>
        <v>0</v>
      </c>
      <c r="I48" s="17">
        <v>0</v>
      </c>
      <c r="J48" s="15" t="s">
        <v>430</v>
      </c>
    </row>
    <row r="49" spans="1:10" x14ac:dyDescent="0.45">
      <c r="A49" s="8" t="s">
        <v>434</v>
      </c>
      <c r="B49" s="8" t="s">
        <v>399</v>
      </c>
      <c r="C49" s="12">
        <v>80</v>
      </c>
      <c r="D49" s="12">
        <v>0</v>
      </c>
      <c r="E49" s="10">
        <f>IF(D49=1,C49/SUMPRODUCT(C45:C55,D45:D55),0)</f>
        <v>0</v>
      </c>
      <c r="F49" s="17">
        <v>0</v>
      </c>
      <c r="G49" s="12">
        <v>0</v>
      </c>
      <c r="H49" s="10">
        <f>IF(G49=1,C49/SUMPRODUCT(C45:C55,G45:G55),0)</f>
        <v>0</v>
      </c>
      <c r="I49" s="17">
        <v>0</v>
      </c>
      <c r="J49" s="15" t="s">
        <v>428</v>
      </c>
    </row>
    <row r="50" spans="1:10" x14ac:dyDescent="0.45">
      <c r="A50" s="8" t="s">
        <v>434</v>
      </c>
      <c r="B50" s="8" t="s">
        <v>401</v>
      </c>
      <c r="C50" s="12">
        <v>100</v>
      </c>
      <c r="D50" s="12">
        <v>1</v>
      </c>
      <c r="E50" s="10">
        <f>IF(D50=1,C50/SUMPRODUCT(C45:C55,D45:D55),0)</f>
        <v>0.66666666666666663</v>
      </c>
      <c r="F50" s="17">
        <v>1</v>
      </c>
      <c r="G50" s="12">
        <v>1</v>
      </c>
      <c r="H50" s="10">
        <f>IF(G50=1,C50/SUMPRODUCT(C45:C55,G45:G55),0)</f>
        <v>0.4</v>
      </c>
      <c r="I50" s="17">
        <v>0.9034461152882205</v>
      </c>
      <c r="J50" s="15"/>
    </row>
    <row r="51" spans="1:10" x14ac:dyDescent="0.45">
      <c r="A51" s="8" t="s">
        <v>434</v>
      </c>
      <c r="B51" s="8" t="s">
        <v>404</v>
      </c>
      <c r="C51" s="12">
        <v>50</v>
      </c>
      <c r="D51" s="12">
        <v>0</v>
      </c>
      <c r="E51" s="10">
        <f>IF(D51=1,C51/SUMPRODUCT(C45:C55,D45:D55),0)</f>
        <v>0</v>
      </c>
      <c r="F51" s="17">
        <v>0</v>
      </c>
      <c r="G51" s="12">
        <v>0</v>
      </c>
      <c r="H51" s="10">
        <f>IF(G51=1,C51/SUMPRODUCT(C45:C55,G45:G55),0)</f>
        <v>0</v>
      </c>
      <c r="I51" s="17">
        <v>0</v>
      </c>
      <c r="J51" s="15" t="s">
        <v>431</v>
      </c>
    </row>
    <row r="52" spans="1:10" x14ac:dyDescent="0.45">
      <c r="A52" s="8" t="s">
        <v>434</v>
      </c>
      <c r="B52" s="8" t="s">
        <v>407</v>
      </c>
      <c r="C52" s="12">
        <v>60</v>
      </c>
      <c r="D52" s="12">
        <v>0</v>
      </c>
      <c r="E52" s="10">
        <f>IF(D52=1,C52/SUMPRODUCT(C45:C55,D45:D55),0)</f>
        <v>0</v>
      </c>
      <c r="F52" s="17">
        <v>0</v>
      </c>
      <c r="G52" s="12">
        <v>1</v>
      </c>
      <c r="H52" s="10">
        <f>IF(G52=1,C52/SUMPRODUCT(C45:C55,G45:G55),0)</f>
        <v>0.24</v>
      </c>
      <c r="I52" s="17">
        <v>0.77474025974025962</v>
      </c>
      <c r="J52" s="15" t="s">
        <v>429</v>
      </c>
    </row>
    <row r="53" spans="1:10" x14ac:dyDescent="0.45">
      <c r="A53" s="8" t="s">
        <v>434</v>
      </c>
      <c r="B53" s="8" t="s">
        <v>410</v>
      </c>
      <c r="C53" s="12">
        <v>100</v>
      </c>
      <c r="D53" s="12">
        <v>0</v>
      </c>
      <c r="E53" s="10">
        <f>IF(D53=1,C53/SUMPRODUCT(C45:C55,D45:D55),0)</f>
        <v>0</v>
      </c>
      <c r="F53" s="17">
        <v>0</v>
      </c>
      <c r="G53" s="12">
        <v>0</v>
      </c>
      <c r="H53" s="10">
        <f>IF(G53=1,C53/SUMPRODUCT(C45:C55,G45:G55),0)</f>
        <v>0</v>
      </c>
      <c r="I53" s="17">
        <v>0</v>
      </c>
      <c r="J53" s="15" t="s">
        <v>431</v>
      </c>
    </row>
    <row r="54" spans="1:10" x14ac:dyDescent="0.45">
      <c r="A54" s="8" t="s">
        <v>434</v>
      </c>
      <c r="B54" s="8" t="s">
        <v>412</v>
      </c>
      <c r="C54" s="12">
        <v>80</v>
      </c>
      <c r="D54" s="12">
        <v>0</v>
      </c>
      <c r="E54" s="10">
        <f>IF(D54=1,C54/SUMPRODUCT(C45:C55,D45:D55),0)</f>
        <v>0</v>
      </c>
      <c r="F54" s="17">
        <v>0</v>
      </c>
      <c r="G54" s="12">
        <v>0</v>
      </c>
      <c r="H54" s="10">
        <f>IF(G54=1,C54/SUMPRODUCT(C45:C55,G45:G55),0)</f>
        <v>0</v>
      </c>
      <c r="I54" s="17">
        <v>0</v>
      </c>
      <c r="J54" s="15" t="s">
        <v>428</v>
      </c>
    </row>
    <row r="55" spans="1:10" x14ac:dyDescent="0.45">
      <c r="A55" s="8" t="s">
        <v>434</v>
      </c>
      <c r="B55" s="8" t="s">
        <v>414</v>
      </c>
      <c r="C55" s="12">
        <v>50</v>
      </c>
      <c r="D55" s="12">
        <v>0</v>
      </c>
      <c r="E55" s="10">
        <f>IF(D55=1,C55/SUMPRODUCT(C45:C55,D45:D55),0)</f>
        <v>0</v>
      </c>
      <c r="F55" s="17">
        <v>0</v>
      </c>
      <c r="G55" s="12">
        <v>0</v>
      </c>
      <c r="H55" s="10">
        <f>IF(G55=1,C55/SUMPRODUCT(C45:C55,G45:G55),0)</f>
        <v>0</v>
      </c>
      <c r="I55" s="17">
        <v>0</v>
      </c>
      <c r="J55" s="15" t="s">
        <v>431</v>
      </c>
    </row>
    <row r="56" spans="1:10" x14ac:dyDescent="0.45">
      <c r="A56" s="8" t="s">
        <v>435</v>
      </c>
      <c r="B56" s="8" t="s">
        <v>385</v>
      </c>
      <c r="C56" s="12">
        <v>80</v>
      </c>
      <c r="D56" s="12">
        <v>0</v>
      </c>
      <c r="E56" s="10">
        <f>IF(D56=1,C56/SUMPRODUCT(C56:C66,D56:D66),0)</f>
        <v>0</v>
      </c>
      <c r="F56" s="17">
        <v>0</v>
      </c>
      <c r="G56" s="12">
        <v>0</v>
      </c>
      <c r="H56" s="10">
        <f>IF(G56=1,C56/SUMPRODUCT(C56:C66,G56:G66),0)</f>
        <v>0</v>
      </c>
      <c r="I56" s="17">
        <v>0</v>
      </c>
      <c r="J56" s="15" t="s">
        <v>428</v>
      </c>
    </row>
    <row r="57" spans="1:10" x14ac:dyDescent="0.45">
      <c r="A57" s="8" t="s">
        <v>435</v>
      </c>
      <c r="B57" s="8" t="s">
        <v>389</v>
      </c>
      <c r="C57" s="12">
        <v>50</v>
      </c>
      <c r="D57" s="12">
        <v>1</v>
      </c>
      <c r="E57" s="10">
        <f>IF(D57=1,C57/SUMPRODUCT(C56:C66,D56:D66),0)</f>
        <v>1</v>
      </c>
      <c r="F57" s="17">
        <v>1</v>
      </c>
      <c r="G57" s="12">
        <v>1</v>
      </c>
      <c r="H57" s="10">
        <f>IF(G57=1,C57/SUMPRODUCT(C56:C66,G56:G66),0)</f>
        <v>0.33333333333333331</v>
      </c>
      <c r="I57" s="17">
        <v>1</v>
      </c>
      <c r="J57" s="15"/>
    </row>
    <row r="58" spans="1:10" x14ac:dyDescent="0.45">
      <c r="A58" s="8" t="s">
        <v>435</v>
      </c>
      <c r="B58" s="8" t="s">
        <v>393</v>
      </c>
      <c r="C58" s="12">
        <v>40</v>
      </c>
      <c r="D58" s="12">
        <v>0</v>
      </c>
      <c r="E58" s="10">
        <f>IF(D58=1,C58/SUMPRODUCT(C56:C66,D56:D66),0)</f>
        <v>0</v>
      </c>
      <c r="F58" s="17">
        <v>0</v>
      </c>
      <c r="G58" s="12">
        <v>1</v>
      </c>
      <c r="H58" s="10">
        <f>IF(G58=1,C58/SUMPRODUCT(C56:C66,G56:G66),0)</f>
        <v>0.26666666666666666</v>
      </c>
      <c r="I58" s="17">
        <v>1</v>
      </c>
      <c r="J58" s="15" t="s">
        <v>429</v>
      </c>
    </row>
    <row r="59" spans="1:10" x14ac:dyDescent="0.45">
      <c r="A59" s="8" t="s">
        <v>435</v>
      </c>
      <c r="B59" s="8" t="s">
        <v>396</v>
      </c>
      <c r="C59" s="12">
        <v>30</v>
      </c>
      <c r="D59" s="12">
        <v>0</v>
      </c>
      <c r="E59" s="10">
        <f>IF(D59=1,C59/SUMPRODUCT(C56:C66,D56:D66),0)</f>
        <v>0</v>
      </c>
      <c r="F59" s="17">
        <v>0</v>
      </c>
      <c r="G59" s="12">
        <v>0</v>
      </c>
      <c r="H59" s="10">
        <f>IF(G59=1,C59/SUMPRODUCT(C56:C66,G56:G66),0)</f>
        <v>0</v>
      </c>
      <c r="I59" s="17">
        <v>0</v>
      </c>
      <c r="J59" s="15" t="s">
        <v>430</v>
      </c>
    </row>
    <row r="60" spans="1:10" x14ac:dyDescent="0.45">
      <c r="A60" s="8" t="s">
        <v>435</v>
      </c>
      <c r="B60" s="8" t="s">
        <v>399</v>
      </c>
      <c r="C60" s="12">
        <v>80</v>
      </c>
      <c r="D60" s="12">
        <v>0</v>
      </c>
      <c r="E60" s="10">
        <f>IF(D60=1,C60/SUMPRODUCT(C56:C66,D56:D66),0)</f>
        <v>0</v>
      </c>
      <c r="F60" s="17">
        <v>0</v>
      </c>
      <c r="G60" s="12">
        <v>0</v>
      </c>
      <c r="H60" s="10">
        <f>IF(G60=1,C60/SUMPRODUCT(C56:C66,G56:G66),0)</f>
        <v>0</v>
      </c>
      <c r="I60" s="17">
        <v>0</v>
      </c>
      <c r="J60" s="15" t="s">
        <v>428</v>
      </c>
    </row>
    <row r="61" spans="1:10" x14ac:dyDescent="0.45">
      <c r="A61" s="8" t="s">
        <v>435</v>
      </c>
      <c r="B61" s="8" t="s">
        <v>401</v>
      </c>
      <c r="C61" s="12">
        <v>100</v>
      </c>
      <c r="D61" s="12">
        <v>0</v>
      </c>
      <c r="E61" s="10">
        <f>IF(D61=1,C61/SUMPRODUCT(C56:C66,D56:D66),0)</f>
        <v>0</v>
      </c>
      <c r="F61" s="17">
        <v>0</v>
      </c>
      <c r="G61" s="12">
        <v>0</v>
      </c>
      <c r="H61" s="10">
        <f>IF(G61=1,C61/SUMPRODUCT(C56:C66,G56:G66),0)</f>
        <v>0</v>
      </c>
      <c r="I61" s="17">
        <v>0</v>
      </c>
      <c r="J61" s="15" t="s">
        <v>431</v>
      </c>
    </row>
    <row r="62" spans="1:10" x14ac:dyDescent="0.45">
      <c r="A62" s="8" t="s">
        <v>435</v>
      </c>
      <c r="B62" s="8" t="s">
        <v>404</v>
      </c>
      <c r="C62" s="12">
        <v>50</v>
      </c>
      <c r="D62" s="12">
        <v>0</v>
      </c>
      <c r="E62" s="10">
        <f>IF(D62=1,C62/SUMPRODUCT(C56:C66,D56:D66),0)</f>
        <v>0</v>
      </c>
      <c r="F62" s="17">
        <v>0</v>
      </c>
      <c r="G62" s="12">
        <v>0</v>
      </c>
      <c r="H62" s="10">
        <f>IF(G62=1,C62/SUMPRODUCT(C56:C66,G56:G66),0)</f>
        <v>0</v>
      </c>
      <c r="I62" s="17">
        <v>0</v>
      </c>
      <c r="J62" s="15" t="s">
        <v>431</v>
      </c>
    </row>
    <row r="63" spans="1:10" x14ac:dyDescent="0.45">
      <c r="A63" s="8" t="s">
        <v>435</v>
      </c>
      <c r="B63" s="8" t="s">
        <v>407</v>
      </c>
      <c r="C63" s="12">
        <v>60</v>
      </c>
      <c r="D63" s="12">
        <v>0</v>
      </c>
      <c r="E63" s="10">
        <f>IF(D63=1,C63/SUMPRODUCT(C56:C66,D56:D66),0)</f>
        <v>0</v>
      </c>
      <c r="F63" s="17">
        <v>0</v>
      </c>
      <c r="G63" s="12">
        <v>1</v>
      </c>
      <c r="H63" s="10">
        <f>IF(G63=1,C63/SUMPRODUCT(C56:C66,G56:G66),0)</f>
        <v>0.4</v>
      </c>
      <c r="I63" s="17">
        <v>1</v>
      </c>
      <c r="J63" s="15" t="s">
        <v>429</v>
      </c>
    </row>
    <row r="64" spans="1:10" x14ac:dyDescent="0.45">
      <c r="A64" s="8" t="s">
        <v>435</v>
      </c>
      <c r="B64" s="8" t="s">
        <v>410</v>
      </c>
      <c r="C64" s="12">
        <v>100</v>
      </c>
      <c r="D64" s="12">
        <v>0</v>
      </c>
      <c r="E64" s="10">
        <f>IF(D64=1,C64/SUMPRODUCT(C56:C66,D56:D66),0)</f>
        <v>0</v>
      </c>
      <c r="F64" s="17">
        <v>0</v>
      </c>
      <c r="G64" s="12">
        <v>0</v>
      </c>
      <c r="H64" s="10">
        <f>IF(G64=1,C64/SUMPRODUCT(C56:C66,G56:G66),0)</f>
        <v>0</v>
      </c>
      <c r="I64" s="17">
        <v>0</v>
      </c>
      <c r="J64" s="15" t="s">
        <v>431</v>
      </c>
    </row>
    <row r="65" spans="1:10" x14ac:dyDescent="0.45">
      <c r="A65" s="8" t="s">
        <v>435</v>
      </c>
      <c r="B65" s="8" t="s">
        <v>412</v>
      </c>
      <c r="C65" s="12">
        <v>80</v>
      </c>
      <c r="D65" s="12">
        <v>0</v>
      </c>
      <c r="E65" s="10">
        <f>IF(D65=1,C65/SUMPRODUCT(C56:C66,D56:D66),0)</f>
        <v>0</v>
      </c>
      <c r="F65" s="17">
        <v>0</v>
      </c>
      <c r="G65" s="12">
        <v>0</v>
      </c>
      <c r="H65" s="10">
        <f>IF(G65=1,C65/SUMPRODUCT(C56:C66,G56:G66),0)</f>
        <v>0</v>
      </c>
      <c r="I65" s="17">
        <v>0</v>
      </c>
      <c r="J65" s="15" t="s">
        <v>428</v>
      </c>
    </row>
    <row r="66" spans="1:10" x14ac:dyDescent="0.45">
      <c r="A66" s="8" t="s">
        <v>435</v>
      </c>
      <c r="B66" s="8" t="s">
        <v>414</v>
      </c>
      <c r="C66" s="12">
        <v>50</v>
      </c>
      <c r="D66" s="12">
        <v>0</v>
      </c>
      <c r="E66" s="10">
        <f>IF(D66=1,C66/SUMPRODUCT(C56:C66,D56:D66),0)</f>
        <v>0</v>
      </c>
      <c r="F66" s="17">
        <v>0</v>
      </c>
      <c r="G66" s="12">
        <v>0</v>
      </c>
      <c r="H66" s="10">
        <f>IF(G66=1,C66/SUMPRODUCT(C56:C66,G56:G66),0)</f>
        <v>0</v>
      </c>
      <c r="I66" s="17">
        <v>0</v>
      </c>
      <c r="J66" s="15" t="s">
        <v>431</v>
      </c>
    </row>
    <row r="67" spans="1:10" x14ac:dyDescent="0.45">
      <c r="A67" s="8" t="s">
        <v>436</v>
      </c>
      <c r="B67" s="8" t="s">
        <v>385</v>
      </c>
      <c r="C67" s="12">
        <v>80</v>
      </c>
      <c r="D67" s="12">
        <v>1</v>
      </c>
      <c r="E67" s="10">
        <f>IF(D67=1,C67/SUMPRODUCT(C67:C77,D67:D77),0)</f>
        <v>0.16326530612244897</v>
      </c>
      <c r="F67" s="17">
        <v>0.48250002547882193</v>
      </c>
      <c r="G67" s="12">
        <v>1</v>
      </c>
      <c r="H67" s="10">
        <f>IF(G67=1,C67/SUMPRODUCT(C67:C77,G67:G77),0)</f>
        <v>0.13559322033898305</v>
      </c>
      <c r="I67" s="17">
        <v>0.39854835421202139</v>
      </c>
      <c r="J67" s="15"/>
    </row>
    <row r="68" spans="1:10" x14ac:dyDescent="0.45">
      <c r="A68" s="8" t="s">
        <v>436</v>
      </c>
      <c r="B68" s="8" t="s">
        <v>389</v>
      </c>
      <c r="C68" s="12">
        <v>50</v>
      </c>
      <c r="D68" s="12">
        <v>1</v>
      </c>
      <c r="E68" s="10">
        <f>IF(D68=1,C68/SUMPRODUCT(C67:C77,D67:D77),0)</f>
        <v>0.10204081632653061</v>
      </c>
      <c r="F68" s="17">
        <v>0.3291546380922179</v>
      </c>
      <c r="G68" s="12">
        <v>1</v>
      </c>
      <c r="H68" s="10">
        <f>IF(G68=1,C68/SUMPRODUCT(C67:C77,G67:G77),0)</f>
        <v>8.4745762711864403E-2</v>
      </c>
      <c r="I68" s="17">
        <v>0.26653176874592438</v>
      </c>
      <c r="J68" s="15"/>
    </row>
    <row r="69" spans="1:10" x14ac:dyDescent="0.45">
      <c r="A69" s="8" t="s">
        <v>436</v>
      </c>
      <c r="B69" s="8" t="s">
        <v>393</v>
      </c>
      <c r="C69" s="12">
        <v>40</v>
      </c>
      <c r="D69" s="12">
        <v>0</v>
      </c>
      <c r="E69" s="10">
        <f>IF(D69=1,C69/SUMPRODUCT(C67:C77,D67:D77),0)</f>
        <v>0</v>
      </c>
      <c r="F69" s="17">
        <v>0</v>
      </c>
      <c r="G69" s="12">
        <v>1</v>
      </c>
      <c r="H69" s="10">
        <f>IF(G69=1,C69/SUMPRODUCT(C67:C77,G67:G77),0)</f>
        <v>6.7796610169491525E-2</v>
      </c>
      <c r="I69" s="17">
        <v>0.2176812116119124</v>
      </c>
      <c r="J69" s="15" t="s">
        <v>429</v>
      </c>
    </row>
    <row r="70" spans="1:10" x14ac:dyDescent="0.45">
      <c r="A70" s="8" t="s">
        <v>436</v>
      </c>
      <c r="B70" s="8" t="s">
        <v>396</v>
      </c>
      <c r="C70" s="12">
        <v>30</v>
      </c>
      <c r="D70" s="12">
        <v>0</v>
      </c>
      <c r="E70" s="10">
        <f>IF(D70=1,C70/SUMPRODUCT(C67:C77,D67:D77),0)</f>
        <v>0</v>
      </c>
      <c r="F70" s="17">
        <v>0</v>
      </c>
      <c r="G70" s="12">
        <v>0</v>
      </c>
      <c r="H70" s="10">
        <f>IF(G70=1,C70/SUMPRODUCT(C67:C77,G67:G77),0)</f>
        <v>0</v>
      </c>
      <c r="I70" s="17">
        <v>0</v>
      </c>
      <c r="J70" s="15" t="s">
        <v>430</v>
      </c>
    </row>
    <row r="71" spans="1:10" x14ac:dyDescent="0.45">
      <c r="A71" s="8" t="s">
        <v>436</v>
      </c>
      <c r="B71" s="8" t="s">
        <v>399</v>
      </c>
      <c r="C71" s="12">
        <v>80</v>
      </c>
      <c r="D71" s="12">
        <v>1</v>
      </c>
      <c r="E71" s="10">
        <f>IF(D71=1,C71/SUMPRODUCT(C67:C77,D67:D77),0)</f>
        <v>0.16326530612244897</v>
      </c>
      <c r="F71" s="17">
        <v>0.48250002547882198</v>
      </c>
      <c r="G71" s="12">
        <v>1</v>
      </c>
      <c r="H71" s="10">
        <f>IF(G71=1,C71/SUMPRODUCT(C67:C77,G67:G77),0)</f>
        <v>0.13559322033898305</v>
      </c>
      <c r="I71" s="17">
        <v>0.39854835421202151</v>
      </c>
      <c r="J71" s="15"/>
    </row>
    <row r="72" spans="1:10" x14ac:dyDescent="0.45">
      <c r="A72" s="8" t="s">
        <v>436</v>
      </c>
      <c r="B72" s="8" t="s">
        <v>401</v>
      </c>
      <c r="C72" s="12">
        <v>100</v>
      </c>
      <c r="D72" s="12">
        <v>0</v>
      </c>
      <c r="E72" s="10">
        <f>IF(D72=1,C72/SUMPRODUCT(C67:C77,D67:D77),0)</f>
        <v>0</v>
      </c>
      <c r="F72" s="17">
        <v>0</v>
      </c>
      <c r="G72" s="12">
        <v>0</v>
      </c>
      <c r="H72" s="10">
        <f>IF(G72=1,C72/SUMPRODUCT(C67:C77,G67:G77),0)</f>
        <v>0</v>
      </c>
      <c r="I72" s="17">
        <v>0</v>
      </c>
      <c r="J72" s="15" t="s">
        <v>431</v>
      </c>
    </row>
    <row r="73" spans="1:10" x14ac:dyDescent="0.45">
      <c r="A73" s="8" t="s">
        <v>436</v>
      </c>
      <c r="B73" s="8" t="s">
        <v>404</v>
      </c>
      <c r="C73" s="12">
        <v>50</v>
      </c>
      <c r="D73" s="12">
        <v>1</v>
      </c>
      <c r="E73" s="10">
        <f>IF(D73=1,C73/SUMPRODUCT(C67:C77,D67:D77),0)</f>
        <v>0.10204081632653061</v>
      </c>
      <c r="F73" s="17">
        <v>0.32915463809221779</v>
      </c>
      <c r="G73" s="12">
        <v>1</v>
      </c>
      <c r="H73" s="10">
        <f>IF(G73=1,C73/SUMPRODUCT(C67:C77,G67:G77),0)</f>
        <v>8.4745762711864403E-2</v>
      </c>
      <c r="I73" s="17">
        <v>0.26653176874592449</v>
      </c>
      <c r="J73" s="15"/>
    </row>
    <row r="74" spans="1:10" x14ac:dyDescent="0.45">
      <c r="A74" s="8" t="s">
        <v>436</v>
      </c>
      <c r="B74" s="8" t="s">
        <v>407</v>
      </c>
      <c r="C74" s="12">
        <v>60</v>
      </c>
      <c r="D74" s="12">
        <v>0</v>
      </c>
      <c r="E74" s="10">
        <f>IF(D74=1,C74/SUMPRODUCT(C67:C77,D67:D77),0)</f>
        <v>0</v>
      </c>
      <c r="F74" s="17">
        <v>0</v>
      </c>
      <c r="G74" s="12">
        <v>1</v>
      </c>
      <c r="H74" s="10">
        <f>IF(G74=1,C74/SUMPRODUCT(C67:C77,G67:G77),0)</f>
        <v>0.10169491525423729</v>
      </c>
      <c r="I74" s="17">
        <v>0.31299881890794062</v>
      </c>
      <c r="J74" s="15" t="s">
        <v>429</v>
      </c>
    </row>
    <row r="75" spans="1:10" x14ac:dyDescent="0.45">
      <c r="A75" s="8" t="s">
        <v>436</v>
      </c>
      <c r="B75" s="8" t="s">
        <v>410</v>
      </c>
      <c r="C75" s="12">
        <v>100</v>
      </c>
      <c r="D75" s="12">
        <v>1</v>
      </c>
      <c r="E75" s="10">
        <f>IF(D75=1,C75/SUMPRODUCT(C67:C77,D67:D77),0)</f>
        <v>0.20408163265306123</v>
      </c>
      <c r="F75" s="17">
        <v>0.56503600928688025</v>
      </c>
      <c r="G75" s="12">
        <v>1</v>
      </c>
      <c r="H75" s="10">
        <f>IF(G75=1,C75/SUMPRODUCT(C67:C77,G67:G77),0)</f>
        <v>0.16949152542372881</v>
      </c>
      <c r="I75" s="17">
        <v>0.47407960060630849</v>
      </c>
      <c r="J75" s="15"/>
    </row>
    <row r="76" spans="1:10" x14ac:dyDescent="0.45">
      <c r="A76" s="8" t="s">
        <v>436</v>
      </c>
      <c r="B76" s="8" t="s">
        <v>412</v>
      </c>
      <c r="C76" s="12">
        <v>80</v>
      </c>
      <c r="D76" s="12">
        <v>1</v>
      </c>
      <c r="E76" s="10">
        <f>IF(D76=1,C76/SUMPRODUCT(C67:C77,D67:D77),0)</f>
        <v>0.16326530612244897</v>
      </c>
      <c r="F76" s="17">
        <v>0.48250002547882181</v>
      </c>
      <c r="G76" s="12">
        <v>1</v>
      </c>
      <c r="H76" s="10">
        <f>IF(G76=1,C76/SUMPRODUCT(C67:C77,G67:G77),0)</f>
        <v>0.13559322033898305</v>
      </c>
      <c r="I76" s="17">
        <v>0.39854835421202162</v>
      </c>
      <c r="J76" s="15"/>
    </row>
    <row r="77" spans="1:10" x14ac:dyDescent="0.45">
      <c r="A77" s="8" t="s">
        <v>436</v>
      </c>
      <c r="B77" s="8" t="s">
        <v>414</v>
      </c>
      <c r="C77" s="12">
        <v>50</v>
      </c>
      <c r="D77" s="12">
        <v>1</v>
      </c>
      <c r="E77" s="10">
        <f>IF(D77=1,C77/SUMPRODUCT(C67:C77,D67:D77),0)</f>
        <v>0.10204081632653061</v>
      </c>
      <c r="F77" s="17">
        <v>0.32915463809221801</v>
      </c>
      <c r="G77" s="12">
        <v>1</v>
      </c>
      <c r="H77" s="10">
        <f>IF(G77=1,C77/SUMPRODUCT(C67:C77,G67:G77),0)</f>
        <v>8.4745762711864403E-2</v>
      </c>
      <c r="I77" s="17">
        <v>0.26653176874592449</v>
      </c>
      <c r="J77" s="15"/>
    </row>
    <row r="78" spans="1:10" x14ac:dyDescent="0.45">
      <c r="A78" s="8" t="s">
        <v>437</v>
      </c>
      <c r="B78" s="8" t="s">
        <v>385</v>
      </c>
      <c r="C78" s="12">
        <v>80</v>
      </c>
      <c r="D78" s="12">
        <v>0</v>
      </c>
      <c r="E78" s="10">
        <f>IF(D78=1,C78/SUMPRODUCT(C78:C88,D78:D88),0)</f>
        <v>0</v>
      </c>
      <c r="F78" s="17">
        <v>0</v>
      </c>
      <c r="G78" s="12">
        <v>0</v>
      </c>
      <c r="H78" s="10">
        <f>IF(G78=1,C78/SUMPRODUCT(C78:C88,G78:G88),0)</f>
        <v>0</v>
      </c>
      <c r="I78" s="17">
        <v>0</v>
      </c>
      <c r="J78" s="15" t="s">
        <v>428</v>
      </c>
    </row>
    <row r="79" spans="1:10" x14ac:dyDescent="0.45">
      <c r="A79" s="8" t="s">
        <v>437</v>
      </c>
      <c r="B79" s="8" t="s">
        <v>389</v>
      </c>
      <c r="C79" s="12">
        <v>50</v>
      </c>
      <c r="D79" s="12">
        <v>0</v>
      </c>
      <c r="E79" s="10">
        <f>IF(D79=1,C79/SUMPRODUCT(C78:C88,D78:D88),0)</f>
        <v>0</v>
      </c>
      <c r="F79" s="17">
        <v>0</v>
      </c>
      <c r="G79" s="12">
        <v>0</v>
      </c>
      <c r="H79" s="10">
        <f>IF(G79=1,C79/SUMPRODUCT(C78:C88,G78:G88),0)</f>
        <v>0</v>
      </c>
      <c r="I79" s="17">
        <v>0</v>
      </c>
      <c r="J79" s="15" t="s">
        <v>433</v>
      </c>
    </row>
    <row r="80" spans="1:10" x14ac:dyDescent="0.45">
      <c r="A80" s="8" t="s">
        <v>437</v>
      </c>
      <c r="B80" s="8" t="s">
        <v>393</v>
      </c>
      <c r="C80" s="12">
        <v>40</v>
      </c>
      <c r="D80" s="12">
        <v>0</v>
      </c>
      <c r="E80" s="10">
        <f>IF(D80=1,C80/SUMPRODUCT(C78:C88,D78:D88),0)</f>
        <v>0</v>
      </c>
      <c r="F80" s="17">
        <v>0</v>
      </c>
      <c r="G80" s="12">
        <v>0</v>
      </c>
      <c r="H80" s="10">
        <f>IF(G80=1,C80/SUMPRODUCT(C78:C88,G78:G88),0)</f>
        <v>0</v>
      </c>
      <c r="I80" s="17">
        <v>0</v>
      </c>
      <c r="J80" s="15" t="s">
        <v>433</v>
      </c>
    </row>
    <row r="81" spans="1:10" x14ac:dyDescent="0.45">
      <c r="A81" s="8" t="s">
        <v>437</v>
      </c>
      <c r="B81" s="8" t="s">
        <v>396</v>
      </c>
      <c r="C81" s="12">
        <v>30</v>
      </c>
      <c r="D81" s="12">
        <v>0</v>
      </c>
      <c r="E81" s="10">
        <f>IF(D81=1,C81/SUMPRODUCT(C78:C88,D78:D88),0)</f>
        <v>0</v>
      </c>
      <c r="F81" s="17">
        <v>0</v>
      </c>
      <c r="G81" s="12">
        <v>0</v>
      </c>
      <c r="H81" s="10">
        <f>IF(G81=1,C81/SUMPRODUCT(C78:C88,G78:G88),0)</f>
        <v>0</v>
      </c>
      <c r="I81" s="17">
        <v>0</v>
      </c>
      <c r="J81" s="15" t="s">
        <v>430</v>
      </c>
    </row>
    <row r="82" spans="1:10" x14ac:dyDescent="0.45">
      <c r="A82" s="8" t="s">
        <v>437</v>
      </c>
      <c r="B82" s="8" t="s">
        <v>399</v>
      </c>
      <c r="C82" s="12">
        <v>80</v>
      </c>
      <c r="D82" s="12">
        <v>0</v>
      </c>
      <c r="E82" s="10">
        <f>IF(D82=1,C82/SUMPRODUCT(C78:C88,D78:D88),0)</f>
        <v>0</v>
      </c>
      <c r="F82" s="17">
        <v>0</v>
      </c>
      <c r="G82" s="12">
        <v>0</v>
      </c>
      <c r="H82" s="10">
        <f>IF(G82=1,C82/SUMPRODUCT(C78:C88,G78:G88),0)</f>
        <v>0</v>
      </c>
      <c r="I82" s="17">
        <v>0</v>
      </c>
      <c r="J82" s="15" t="s">
        <v>428</v>
      </c>
    </row>
    <row r="83" spans="1:10" x14ac:dyDescent="0.45">
      <c r="A83" s="8" t="s">
        <v>437</v>
      </c>
      <c r="B83" s="8" t="s">
        <v>401</v>
      </c>
      <c r="C83" s="12">
        <v>100</v>
      </c>
      <c r="D83" s="12">
        <v>0</v>
      </c>
      <c r="E83" s="10">
        <f>IF(D83=1,C83/SUMPRODUCT(C78:C88,D78:D88),0)</f>
        <v>0</v>
      </c>
      <c r="F83" s="17">
        <v>0</v>
      </c>
      <c r="G83" s="12">
        <v>0</v>
      </c>
      <c r="H83" s="10">
        <f>IF(G83=1,C83/SUMPRODUCT(C78:C88,G78:G88),0)</f>
        <v>0</v>
      </c>
      <c r="I83" s="17">
        <v>0</v>
      </c>
      <c r="J83" s="15" t="s">
        <v>431</v>
      </c>
    </row>
    <row r="84" spans="1:10" x14ac:dyDescent="0.45">
      <c r="A84" s="8" t="s">
        <v>437</v>
      </c>
      <c r="B84" s="8" t="s">
        <v>404</v>
      </c>
      <c r="C84" s="12">
        <v>50</v>
      </c>
      <c r="D84" s="12">
        <v>0</v>
      </c>
      <c r="E84" s="10">
        <f>IF(D84=1,C84/SUMPRODUCT(C78:C88,D78:D88),0)</f>
        <v>0</v>
      </c>
      <c r="F84" s="17">
        <v>0</v>
      </c>
      <c r="G84" s="12">
        <v>0</v>
      </c>
      <c r="H84" s="10">
        <f>IF(G84=1,C84/SUMPRODUCT(C78:C88,G78:G88),0)</f>
        <v>0</v>
      </c>
      <c r="I84" s="17">
        <v>0</v>
      </c>
      <c r="J84" s="15" t="s">
        <v>431</v>
      </c>
    </row>
    <row r="85" spans="1:10" x14ac:dyDescent="0.45">
      <c r="A85" s="8" t="s">
        <v>437</v>
      </c>
      <c r="B85" s="8" t="s">
        <v>407</v>
      </c>
      <c r="C85" s="12">
        <v>60</v>
      </c>
      <c r="D85" s="12">
        <v>0</v>
      </c>
      <c r="E85" s="10">
        <f>IF(D85=1,C85/SUMPRODUCT(C78:C88,D78:D88),0)</f>
        <v>0</v>
      </c>
      <c r="F85" s="17">
        <v>0</v>
      </c>
      <c r="G85" s="12">
        <v>1</v>
      </c>
      <c r="H85" s="10">
        <f>IF(G85=1,C85/SUMPRODUCT(C78:C88,G78:G88),0)</f>
        <v>1</v>
      </c>
      <c r="I85" s="17">
        <v>1</v>
      </c>
      <c r="J85" s="15" t="s">
        <v>429</v>
      </c>
    </row>
    <row r="86" spans="1:10" x14ac:dyDescent="0.45">
      <c r="A86" s="8" t="s">
        <v>437</v>
      </c>
      <c r="B86" s="8" t="s">
        <v>410</v>
      </c>
      <c r="C86" s="12">
        <v>100</v>
      </c>
      <c r="D86" s="12">
        <v>0</v>
      </c>
      <c r="E86" s="10">
        <f>IF(D86=1,C86/SUMPRODUCT(C78:C88,D78:D88),0)</f>
        <v>0</v>
      </c>
      <c r="F86" s="17">
        <v>0</v>
      </c>
      <c r="G86" s="12">
        <v>0</v>
      </c>
      <c r="H86" s="10">
        <f>IF(G86=1,C86/SUMPRODUCT(C78:C88,G78:G88),0)</f>
        <v>0</v>
      </c>
      <c r="I86" s="17">
        <v>0</v>
      </c>
      <c r="J86" s="15" t="s">
        <v>431</v>
      </c>
    </row>
    <row r="87" spans="1:10" x14ac:dyDescent="0.45">
      <c r="A87" s="8" t="s">
        <v>437</v>
      </c>
      <c r="B87" s="8" t="s">
        <v>412</v>
      </c>
      <c r="C87" s="12">
        <v>80</v>
      </c>
      <c r="D87" s="12">
        <v>0</v>
      </c>
      <c r="E87" s="10">
        <f>IF(D87=1,C87/SUMPRODUCT(C78:C88,D78:D88),0)</f>
        <v>0</v>
      </c>
      <c r="F87" s="17">
        <v>0</v>
      </c>
      <c r="G87" s="12">
        <v>0</v>
      </c>
      <c r="H87" s="10">
        <f>IF(G87=1,C87/SUMPRODUCT(C78:C88,G78:G88),0)</f>
        <v>0</v>
      </c>
      <c r="I87" s="17">
        <v>0</v>
      </c>
      <c r="J87" s="15" t="s">
        <v>428</v>
      </c>
    </row>
    <row r="88" spans="1:10" x14ac:dyDescent="0.45">
      <c r="A88" s="8" t="s">
        <v>437</v>
      </c>
      <c r="B88" s="8" t="s">
        <v>414</v>
      </c>
      <c r="C88" s="12">
        <v>50</v>
      </c>
      <c r="D88" s="12">
        <v>0</v>
      </c>
      <c r="E88" s="10">
        <f>IF(D88=1,C88/SUMPRODUCT(C78:C88,D78:D88),0)</f>
        <v>0</v>
      </c>
      <c r="F88" s="17">
        <v>0</v>
      </c>
      <c r="G88" s="12">
        <v>0</v>
      </c>
      <c r="H88" s="10">
        <f>IF(G88=1,C88/SUMPRODUCT(C78:C88,G78:G88),0)</f>
        <v>0</v>
      </c>
      <c r="I88" s="17">
        <v>0</v>
      </c>
      <c r="J88" s="15" t="s">
        <v>431</v>
      </c>
    </row>
    <row r="89" spans="1:10" x14ac:dyDescent="0.45">
      <c r="A89" s="8" t="s">
        <v>438</v>
      </c>
      <c r="B89" s="8" t="s">
        <v>385</v>
      </c>
      <c r="C89" s="12">
        <v>80</v>
      </c>
      <c r="D89" s="12">
        <v>0</v>
      </c>
      <c r="E89" s="10">
        <f>IF(D89=1,C89/SUMPRODUCT(C89:C99,D89:D99),0)</f>
        <v>0</v>
      </c>
      <c r="F89" s="17">
        <v>0</v>
      </c>
      <c r="G89" s="12">
        <v>0</v>
      </c>
      <c r="H89" s="10">
        <f>IF(G89=1,C89/SUMPRODUCT(C89:C99,G89:G99),0)</f>
        <v>0</v>
      </c>
      <c r="I89" s="17">
        <v>0</v>
      </c>
      <c r="J89" s="15" t="s">
        <v>428</v>
      </c>
    </row>
    <row r="90" spans="1:10" x14ac:dyDescent="0.45">
      <c r="A90" s="8" t="s">
        <v>438</v>
      </c>
      <c r="B90" s="8" t="s">
        <v>389</v>
      </c>
      <c r="C90" s="12">
        <v>50</v>
      </c>
      <c r="D90" s="12">
        <v>1</v>
      </c>
      <c r="E90" s="10">
        <f>IF(D90=1,C90/SUMPRODUCT(C89:C99,D89:D99),0)</f>
        <v>0.625</v>
      </c>
      <c r="F90" s="17">
        <v>1</v>
      </c>
      <c r="G90" s="12">
        <v>1</v>
      </c>
      <c r="H90" s="10">
        <f>IF(G90=1,C90/SUMPRODUCT(C89:C99,G89:G99),0)</f>
        <v>0.27777777777777779</v>
      </c>
      <c r="I90" s="17">
        <v>0.80573593073593064</v>
      </c>
      <c r="J90" s="15"/>
    </row>
    <row r="91" spans="1:10" x14ac:dyDescent="0.45">
      <c r="A91" s="8" t="s">
        <v>438</v>
      </c>
      <c r="B91" s="8" t="s">
        <v>393</v>
      </c>
      <c r="C91" s="12">
        <v>40</v>
      </c>
      <c r="D91" s="12">
        <v>0</v>
      </c>
      <c r="E91" s="10">
        <f>IF(D91=1,C91/SUMPRODUCT(C89:C99,D89:D99),0)</f>
        <v>0</v>
      </c>
      <c r="F91" s="17">
        <v>0</v>
      </c>
      <c r="G91" s="12">
        <v>1</v>
      </c>
      <c r="H91" s="10">
        <f>IF(G91=1,C91/SUMPRODUCT(C89:C99,G89:G99),0)</f>
        <v>0.22222222222222221</v>
      </c>
      <c r="I91" s="17">
        <v>0.73040293040293047</v>
      </c>
      <c r="J91" s="15" t="s">
        <v>429</v>
      </c>
    </row>
    <row r="92" spans="1:10" x14ac:dyDescent="0.45">
      <c r="A92" s="8" t="s">
        <v>438</v>
      </c>
      <c r="B92" s="8" t="s">
        <v>396</v>
      </c>
      <c r="C92" s="12">
        <v>30</v>
      </c>
      <c r="D92" s="12">
        <v>1</v>
      </c>
      <c r="E92" s="10">
        <f>IF(D92=1,C92/SUMPRODUCT(C89:C99,D89:D99),0)</f>
        <v>0.375</v>
      </c>
      <c r="F92" s="17">
        <v>1</v>
      </c>
      <c r="G92" s="12">
        <v>1</v>
      </c>
      <c r="H92" s="10">
        <f>IF(G92=1,C92/SUMPRODUCT(C89:C99,G89:G99),0)</f>
        <v>0.16666666666666666</v>
      </c>
      <c r="I92" s="17">
        <v>0.60851648351648358</v>
      </c>
      <c r="J92" s="15"/>
    </row>
    <row r="93" spans="1:10" x14ac:dyDescent="0.45">
      <c r="A93" s="8" t="s">
        <v>438</v>
      </c>
      <c r="B93" s="8" t="s">
        <v>399</v>
      </c>
      <c r="C93" s="12">
        <v>80</v>
      </c>
      <c r="D93" s="12">
        <v>0</v>
      </c>
      <c r="E93" s="10">
        <f>IF(D93=1,C93/SUMPRODUCT(C89:C99,D89:D99),0)</f>
        <v>0</v>
      </c>
      <c r="F93" s="17">
        <v>0</v>
      </c>
      <c r="G93" s="12">
        <v>0</v>
      </c>
      <c r="H93" s="10">
        <f>IF(G93=1,C93/SUMPRODUCT(C89:C99,G89:G99),0)</f>
        <v>0</v>
      </c>
      <c r="I93" s="17">
        <v>0</v>
      </c>
      <c r="J93" s="15" t="s">
        <v>428</v>
      </c>
    </row>
    <row r="94" spans="1:10" x14ac:dyDescent="0.45">
      <c r="A94" s="8" t="s">
        <v>438</v>
      </c>
      <c r="B94" s="8" t="s">
        <v>401</v>
      </c>
      <c r="C94" s="12">
        <v>100</v>
      </c>
      <c r="D94" s="12">
        <v>0</v>
      </c>
      <c r="E94" s="10">
        <f>IF(D94=1,C94/SUMPRODUCT(C89:C99,D89:D99),0)</f>
        <v>0</v>
      </c>
      <c r="F94" s="17">
        <v>0</v>
      </c>
      <c r="G94" s="12">
        <v>0</v>
      </c>
      <c r="H94" s="10">
        <f>IF(G94=1,C94/SUMPRODUCT(C89:C99,G89:G99),0)</f>
        <v>0</v>
      </c>
      <c r="I94" s="17">
        <v>0</v>
      </c>
      <c r="J94" s="15" t="s">
        <v>431</v>
      </c>
    </row>
    <row r="95" spans="1:10" x14ac:dyDescent="0.45">
      <c r="A95" s="8" t="s">
        <v>438</v>
      </c>
      <c r="B95" s="8" t="s">
        <v>404</v>
      </c>
      <c r="C95" s="12">
        <v>50</v>
      </c>
      <c r="D95" s="12">
        <v>0</v>
      </c>
      <c r="E95" s="10">
        <f>IF(D95=1,C95/SUMPRODUCT(C89:C99,D89:D99),0)</f>
        <v>0</v>
      </c>
      <c r="F95" s="17">
        <v>0</v>
      </c>
      <c r="G95" s="12">
        <v>0</v>
      </c>
      <c r="H95" s="10">
        <f>IF(G95=1,C95/SUMPRODUCT(C89:C99,G89:G99),0)</f>
        <v>0</v>
      </c>
      <c r="I95" s="17">
        <v>0</v>
      </c>
      <c r="J95" s="15" t="s">
        <v>431</v>
      </c>
    </row>
    <row r="96" spans="1:10" x14ac:dyDescent="0.45">
      <c r="A96" s="8" t="s">
        <v>438</v>
      </c>
      <c r="B96" s="8" t="s">
        <v>407</v>
      </c>
      <c r="C96" s="12">
        <v>60</v>
      </c>
      <c r="D96" s="12">
        <v>0</v>
      </c>
      <c r="E96" s="10">
        <f>IF(D96=1,C96/SUMPRODUCT(C89:C99,D89:D99),0)</f>
        <v>0</v>
      </c>
      <c r="F96" s="17">
        <v>0</v>
      </c>
      <c r="G96" s="12">
        <v>1</v>
      </c>
      <c r="H96" s="10">
        <f>IF(G96=1,C96/SUMPRODUCT(C89:C99,G89:G99),0)</f>
        <v>0.33333333333333331</v>
      </c>
      <c r="I96" s="17">
        <v>0.85534465534465531</v>
      </c>
      <c r="J96" s="15" t="s">
        <v>429</v>
      </c>
    </row>
    <row r="97" spans="1:10" x14ac:dyDescent="0.45">
      <c r="A97" s="8" t="s">
        <v>438</v>
      </c>
      <c r="B97" s="8" t="s">
        <v>410</v>
      </c>
      <c r="C97" s="12">
        <v>100</v>
      </c>
      <c r="D97" s="12">
        <v>0</v>
      </c>
      <c r="E97" s="10">
        <f>IF(D97=1,C97/SUMPRODUCT(C89:C99,D89:D99),0)</f>
        <v>0</v>
      </c>
      <c r="F97" s="17">
        <v>0</v>
      </c>
      <c r="G97" s="12">
        <v>0</v>
      </c>
      <c r="H97" s="10">
        <f>IF(G97=1,C97/SUMPRODUCT(C89:C99,G89:G99),0)</f>
        <v>0</v>
      </c>
      <c r="I97" s="17">
        <v>0</v>
      </c>
      <c r="J97" s="15" t="s">
        <v>431</v>
      </c>
    </row>
    <row r="98" spans="1:10" x14ac:dyDescent="0.45">
      <c r="A98" s="8" t="s">
        <v>438</v>
      </c>
      <c r="B98" s="8" t="s">
        <v>412</v>
      </c>
      <c r="C98" s="12">
        <v>80</v>
      </c>
      <c r="D98" s="12">
        <v>0</v>
      </c>
      <c r="E98" s="10">
        <f>IF(D98=1,C98/SUMPRODUCT(C89:C99,D89:D99),0)</f>
        <v>0</v>
      </c>
      <c r="F98" s="17">
        <v>0</v>
      </c>
      <c r="G98" s="12">
        <v>0</v>
      </c>
      <c r="H98" s="10">
        <f>IF(G98=1,C98/SUMPRODUCT(C89:C99,G89:G99),0)</f>
        <v>0</v>
      </c>
      <c r="I98" s="17">
        <v>0</v>
      </c>
      <c r="J98" s="15" t="s">
        <v>428</v>
      </c>
    </row>
    <row r="99" spans="1:10" x14ac:dyDescent="0.45">
      <c r="A99" s="8" t="s">
        <v>438</v>
      </c>
      <c r="B99" s="8" t="s">
        <v>414</v>
      </c>
      <c r="C99" s="12">
        <v>50</v>
      </c>
      <c r="D99" s="12">
        <v>0</v>
      </c>
      <c r="E99" s="10">
        <f>IF(D99=1,C99/SUMPRODUCT(C89:C99,D89:D99),0)</f>
        <v>0</v>
      </c>
      <c r="F99" s="17">
        <v>0</v>
      </c>
      <c r="G99" s="12">
        <v>0</v>
      </c>
      <c r="H99" s="10">
        <f>IF(G99=1,C99/SUMPRODUCT(C89:C99,G89:G99),0)</f>
        <v>0</v>
      </c>
      <c r="I99" s="17">
        <v>0</v>
      </c>
      <c r="J99" s="15" t="s">
        <v>431</v>
      </c>
    </row>
    <row r="100" spans="1:10" x14ac:dyDescent="0.45">
      <c r="A100" s="8" t="s">
        <v>439</v>
      </c>
      <c r="B100" s="8" t="s">
        <v>385</v>
      </c>
      <c r="C100" s="12">
        <v>80</v>
      </c>
      <c r="D100" s="12">
        <v>1</v>
      </c>
      <c r="E100" s="10">
        <f>IF(D100=1,C100/SUMPRODUCT(C100:C110,D100:D110),0)</f>
        <v>0.16326530612244897</v>
      </c>
      <c r="F100" s="17">
        <v>0.48250002547882193</v>
      </c>
      <c r="G100" s="12">
        <v>1</v>
      </c>
      <c r="H100" s="10">
        <f>IF(G100=1,C100/SUMPRODUCT(C100:C110,G100:G110),0)</f>
        <v>0.13559322033898305</v>
      </c>
      <c r="I100" s="17">
        <v>0.39854835421202139</v>
      </c>
      <c r="J100" s="15"/>
    </row>
    <row r="101" spans="1:10" x14ac:dyDescent="0.45">
      <c r="A101" s="8" t="s">
        <v>439</v>
      </c>
      <c r="B101" s="8" t="s">
        <v>389</v>
      </c>
      <c r="C101" s="12">
        <v>50</v>
      </c>
      <c r="D101" s="12">
        <v>1</v>
      </c>
      <c r="E101" s="10">
        <f>IF(D101=1,C101/SUMPRODUCT(C100:C110,D100:D110),0)</f>
        <v>0.10204081632653061</v>
      </c>
      <c r="F101" s="17">
        <v>0.3291546380922179</v>
      </c>
      <c r="G101" s="12">
        <v>1</v>
      </c>
      <c r="H101" s="10">
        <f>IF(G101=1,C101/SUMPRODUCT(C100:C110,G100:G110),0)</f>
        <v>8.4745762711864403E-2</v>
      </c>
      <c r="I101" s="17">
        <v>0.26653176874592438</v>
      </c>
      <c r="J101" s="15"/>
    </row>
    <row r="102" spans="1:10" x14ac:dyDescent="0.45">
      <c r="A102" s="8" t="s">
        <v>439</v>
      </c>
      <c r="B102" s="8" t="s">
        <v>393</v>
      </c>
      <c r="C102" s="12">
        <v>40</v>
      </c>
      <c r="D102" s="12">
        <v>0</v>
      </c>
      <c r="E102" s="10">
        <f>IF(D102=1,C102/SUMPRODUCT(C100:C110,D100:D110),0)</f>
        <v>0</v>
      </c>
      <c r="F102" s="17">
        <v>0</v>
      </c>
      <c r="G102" s="12">
        <v>1</v>
      </c>
      <c r="H102" s="10">
        <f>IF(G102=1,C102/SUMPRODUCT(C100:C110,G100:G110),0)</f>
        <v>6.7796610169491525E-2</v>
      </c>
      <c r="I102" s="17">
        <v>0.2176812116119124</v>
      </c>
      <c r="J102" s="15" t="s">
        <v>429</v>
      </c>
    </row>
    <row r="103" spans="1:10" x14ac:dyDescent="0.45">
      <c r="A103" s="8" t="s">
        <v>439</v>
      </c>
      <c r="B103" s="8" t="s">
        <v>396</v>
      </c>
      <c r="C103" s="12">
        <v>30</v>
      </c>
      <c r="D103" s="12">
        <v>0</v>
      </c>
      <c r="E103" s="10">
        <f>IF(D103=1,C103/SUMPRODUCT(C100:C110,D100:D110),0)</f>
        <v>0</v>
      </c>
      <c r="F103" s="17">
        <v>0</v>
      </c>
      <c r="G103" s="12">
        <v>0</v>
      </c>
      <c r="H103" s="10">
        <f>IF(G103=1,C103/SUMPRODUCT(C100:C110,G100:G110),0)</f>
        <v>0</v>
      </c>
      <c r="I103" s="17">
        <v>0</v>
      </c>
      <c r="J103" s="15" t="s">
        <v>430</v>
      </c>
    </row>
    <row r="104" spans="1:10" x14ac:dyDescent="0.45">
      <c r="A104" s="8" t="s">
        <v>439</v>
      </c>
      <c r="B104" s="8" t="s">
        <v>399</v>
      </c>
      <c r="C104" s="12">
        <v>80</v>
      </c>
      <c r="D104" s="12">
        <v>1</v>
      </c>
      <c r="E104" s="10">
        <f>IF(D104=1,C104/SUMPRODUCT(C100:C110,D100:D110),0)</f>
        <v>0.16326530612244897</v>
      </c>
      <c r="F104" s="17">
        <v>0.48250002547882198</v>
      </c>
      <c r="G104" s="12">
        <v>1</v>
      </c>
      <c r="H104" s="10">
        <f>IF(G104=1,C104/SUMPRODUCT(C100:C110,G100:G110),0)</f>
        <v>0.13559322033898305</v>
      </c>
      <c r="I104" s="17">
        <v>0.39854835421202151</v>
      </c>
      <c r="J104" s="15"/>
    </row>
    <row r="105" spans="1:10" x14ac:dyDescent="0.45">
      <c r="A105" s="8" t="s">
        <v>439</v>
      </c>
      <c r="B105" s="8" t="s">
        <v>401</v>
      </c>
      <c r="C105" s="12">
        <v>100</v>
      </c>
      <c r="D105" s="12">
        <v>0</v>
      </c>
      <c r="E105" s="10">
        <f>IF(D105=1,C105/SUMPRODUCT(C100:C110,D100:D110),0)</f>
        <v>0</v>
      </c>
      <c r="F105" s="17">
        <v>0</v>
      </c>
      <c r="G105" s="12">
        <v>0</v>
      </c>
      <c r="H105" s="10">
        <f>IF(G105=1,C105/SUMPRODUCT(C100:C110,G100:G110),0)</f>
        <v>0</v>
      </c>
      <c r="I105" s="17">
        <v>0</v>
      </c>
      <c r="J105" s="15" t="s">
        <v>431</v>
      </c>
    </row>
    <row r="106" spans="1:10" x14ac:dyDescent="0.45">
      <c r="A106" s="8" t="s">
        <v>439</v>
      </c>
      <c r="B106" s="8" t="s">
        <v>404</v>
      </c>
      <c r="C106" s="12">
        <v>50</v>
      </c>
      <c r="D106" s="12">
        <v>1</v>
      </c>
      <c r="E106" s="10">
        <f>IF(D106=1,C106/SUMPRODUCT(C100:C110,D100:D110),0)</f>
        <v>0.10204081632653061</v>
      </c>
      <c r="F106" s="17">
        <v>0.32915463809221779</v>
      </c>
      <c r="G106" s="12">
        <v>1</v>
      </c>
      <c r="H106" s="10">
        <f>IF(G106=1,C106/SUMPRODUCT(C100:C110,G100:G110),0)</f>
        <v>8.4745762711864403E-2</v>
      </c>
      <c r="I106" s="17">
        <v>0.26653176874592449</v>
      </c>
      <c r="J106" s="15"/>
    </row>
    <row r="107" spans="1:10" x14ac:dyDescent="0.45">
      <c r="A107" s="8" t="s">
        <v>439</v>
      </c>
      <c r="B107" s="8" t="s">
        <v>407</v>
      </c>
      <c r="C107" s="12">
        <v>60</v>
      </c>
      <c r="D107" s="12">
        <v>0</v>
      </c>
      <c r="E107" s="10">
        <f>IF(D107=1,C107/SUMPRODUCT(C100:C110,D100:D110),0)</f>
        <v>0</v>
      </c>
      <c r="F107" s="17">
        <v>0</v>
      </c>
      <c r="G107" s="12">
        <v>1</v>
      </c>
      <c r="H107" s="10">
        <f>IF(G107=1,C107/SUMPRODUCT(C100:C110,G100:G110),0)</f>
        <v>0.10169491525423729</v>
      </c>
      <c r="I107" s="17">
        <v>0.31299881890794062</v>
      </c>
      <c r="J107" s="15" t="s">
        <v>429</v>
      </c>
    </row>
    <row r="108" spans="1:10" x14ac:dyDescent="0.45">
      <c r="A108" s="8" t="s">
        <v>439</v>
      </c>
      <c r="B108" s="8" t="s">
        <v>410</v>
      </c>
      <c r="C108" s="12">
        <v>100</v>
      </c>
      <c r="D108" s="12">
        <v>1</v>
      </c>
      <c r="E108" s="10">
        <f>IF(D108=1,C108/SUMPRODUCT(C100:C110,D100:D110),0)</f>
        <v>0.20408163265306123</v>
      </c>
      <c r="F108" s="17">
        <v>0.56503600928688025</v>
      </c>
      <c r="G108" s="12">
        <v>1</v>
      </c>
      <c r="H108" s="10">
        <f>IF(G108=1,C108/SUMPRODUCT(C100:C110,G100:G110),0)</f>
        <v>0.16949152542372881</v>
      </c>
      <c r="I108" s="17">
        <v>0.47407960060630849</v>
      </c>
      <c r="J108" s="15"/>
    </row>
    <row r="109" spans="1:10" x14ac:dyDescent="0.45">
      <c r="A109" s="8" t="s">
        <v>439</v>
      </c>
      <c r="B109" s="8" t="s">
        <v>412</v>
      </c>
      <c r="C109" s="12">
        <v>80</v>
      </c>
      <c r="D109" s="12">
        <v>1</v>
      </c>
      <c r="E109" s="10">
        <f>IF(D109=1,C109/SUMPRODUCT(C100:C110,D100:D110),0)</f>
        <v>0.16326530612244897</v>
      </c>
      <c r="F109" s="17">
        <v>0.48250002547882181</v>
      </c>
      <c r="G109" s="12">
        <v>1</v>
      </c>
      <c r="H109" s="10">
        <f>IF(G109=1,C109/SUMPRODUCT(C100:C110,G100:G110),0)</f>
        <v>0.13559322033898305</v>
      </c>
      <c r="I109" s="17">
        <v>0.39854835421202162</v>
      </c>
      <c r="J109" s="15"/>
    </row>
    <row r="110" spans="1:10" x14ac:dyDescent="0.45">
      <c r="A110" s="8" t="s">
        <v>439</v>
      </c>
      <c r="B110" s="8" t="s">
        <v>414</v>
      </c>
      <c r="C110" s="12">
        <v>50</v>
      </c>
      <c r="D110" s="12">
        <v>1</v>
      </c>
      <c r="E110" s="10">
        <f>IF(D110=1,C110/SUMPRODUCT(C100:C110,D100:D110),0)</f>
        <v>0.10204081632653061</v>
      </c>
      <c r="F110" s="17">
        <v>0.32915463809221801</v>
      </c>
      <c r="G110" s="12">
        <v>1</v>
      </c>
      <c r="H110" s="10">
        <f>IF(G110=1,C110/SUMPRODUCT(C100:C110,G100:G110),0)</f>
        <v>8.4745762711864403E-2</v>
      </c>
      <c r="I110" s="17">
        <v>0.26653176874592449</v>
      </c>
      <c r="J110" s="15"/>
    </row>
    <row r="111" spans="1:10" x14ac:dyDescent="0.45">
      <c r="A111" s="8" t="s">
        <v>440</v>
      </c>
      <c r="B111" s="8" t="s">
        <v>385</v>
      </c>
      <c r="C111" s="12">
        <v>80</v>
      </c>
      <c r="D111" s="12">
        <v>1</v>
      </c>
      <c r="E111" s="10">
        <f>IF(D111=1,C111/SUMPRODUCT(C111:C121,D111:D121),0)</f>
        <v>0.16326530612244897</v>
      </c>
      <c r="F111" s="17">
        <v>0.48250002547882193</v>
      </c>
      <c r="G111" s="12">
        <v>1</v>
      </c>
      <c r="H111" s="10">
        <f>IF(G111=1,C111/SUMPRODUCT(C111:C121,G111:G121),0)</f>
        <v>0.13559322033898305</v>
      </c>
      <c r="I111" s="17">
        <v>0.39854835421202139</v>
      </c>
      <c r="J111" s="15"/>
    </row>
    <row r="112" spans="1:10" x14ac:dyDescent="0.45">
      <c r="A112" s="8" t="s">
        <v>440</v>
      </c>
      <c r="B112" s="8" t="s">
        <v>389</v>
      </c>
      <c r="C112" s="12">
        <v>50</v>
      </c>
      <c r="D112" s="12">
        <v>1</v>
      </c>
      <c r="E112" s="10">
        <f>IF(D112=1,C112/SUMPRODUCT(C111:C121,D111:D121),0)</f>
        <v>0.10204081632653061</v>
      </c>
      <c r="F112" s="17">
        <v>0.3291546380922179</v>
      </c>
      <c r="G112" s="12">
        <v>1</v>
      </c>
      <c r="H112" s="10">
        <f>IF(G112=1,C112/SUMPRODUCT(C111:C121,G111:G121),0)</f>
        <v>8.4745762711864403E-2</v>
      </c>
      <c r="I112" s="17">
        <v>0.26653176874592438</v>
      </c>
      <c r="J112" s="15"/>
    </row>
    <row r="113" spans="1:10" x14ac:dyDescent="0.45">
      <c r="A113" s="8" t="s">
        <v>440</v>
      </c>
      <c r="B113" s="8" t="s">
        <v>393</v>
      </c>
      <c r="C113" s="12">
        <v>40</v>
      </c>
      <c r="D113" s="12">
        <v>0</v>
      </c>
      <c r="E113" s="10">
        <f>IF(D113=1,C113/SUMPRODUCT(C111:C121,D111:D121),0)</f>
        <v>0</v>
      </c>
      <c r="F113" s="17">
        <v>0</v>
      </c>
      <c r="G113" s="12">
        <v>1</v>
      </c>
      <c r="H113" s="10">
        <f>IF(G113=1,C113/SUMPRODUCT(C111:C121,G111:G121),0)</f>
        <v>6.7796610169491525E-2</v>
      </c>
      <c r="I113" s="17">
        <v>0.2176812116119124</v>
      </c>
      <c r="J113" s="15" t="s">
        <v>429</v>
      </c>
    </row>
    <row r="114" spans="1:10" x14ac:dyDescent="0.45">
      <c r="A114" s="8" t="s">
        <v>440</v>
      </c>
      <c r="B114" s="8" t="s">
        <v>396</v>
      </c>
      <c r="C114" s="12">
        <v>30</v>
      </c>
      <c r="D114" s="12">
        <v>0</v>
      </c>
      <c r="E114" s="10">
        <f>IF(D114=1,C114/SUMPRODUCT(C111:C121,D111:D121),0)</f>
        <v>0</v>
      </c>
      <c r="F114" s="17">
        <v>0</v>
      </c>
      <c r="G114" s="12">
        <v>0</v>
      </c>
      <c r="H114" s="10">
        <f>IF(G114=1,C114/SUMPRODUCT(C111:C121,G111:G121),0)</f>
        <v>0</v>
      </c>
      <c r="I114" s="17">
        <v>0</v>
      </c>
      <c r="J114" s="15" t="s">
        <v>430</v>
      </c>
    </row>
    <row r="115" spans="1:10" x14ac:dyDescent="0.45">
      <c r="A115" s="8" t="s">
        <v>440</v>
      </c>
      <c r="B115" s="8" t="s">
        <v>399</v>
      </c>
      <c r="C115" s="12">
        <v>80</v>
      </c>
      <c r="D115" s="12">
        <v>1</v>
      </c>
      <c r="E115" s="10">
        <f>IF(D115=1,C115/SUMPRODUCT(C111:C121,D111:D121),0)</f>
        <v>0.16326530612244897</v>
      </c>
      <c r="F115" s="17">
        <v>0.48250002547882198</v>
      </c>
      <c r="G115" s="12">
        <v>1</v>
      </c>
      <c r="H115" s="10">
        <f>IF(G115=1,C115/SUMPRODUCT(C111:C121,G111:G121),0)</f>
        <v>0.13559322033898305</v>
      </c>
      <c r="I115" s="17">
        <v>0.39854835421202151</v>
      </c>
      <c r="J115" s="15"/>
    </row>
    <row r="116" spans="1:10" x14ac:dyDescent="0.45">
      <c r="A116" s="8" t="s">
        <v>440</v>
      </c>
      <c r="B116" s="8" t="s">
        <v>401</v>
      </c>
      <c r="C116" s="12">
        <v>100</v>
      </c>
      <c r="D116" s="12">
        <v>0</v>
      </c>
      <c r="E116" s="10">
        <f>IF(D116=1,C116/SUMPRODUCT(C111:C121,D111:D121),0)</f>
        <v>0</v>
      </c>
      <c r="F116" s="17">
        <v>0</v>
      </c>
      <c r="G116" s="12">
        <v>0</v>
      </c>
      <c r="H116" s="10">
        <f>IF(G116=1,C116/SUMPRODUCT(C111:C121,G111:G121),0)</f>
        <v>0</v>
      </c>
      <c r="I116" s="17">
        <v>0</v>
      </c>
      <c r="J116" s="15" t="s">
        <v>431</v>
      </c>
    </row>
    <row r="117" spans="1:10" x14ac:dyDescent="0.45">
      <c r="A117" s="8" t="s">
        <v>440</v>
      </c>
      <c r="B117" s="8" t="s">
        <v>404</v>
      </c>
      <c r="C117" s="12">
        <v>50</v>
      </c>
      <c r="D117" s="12">
        <v>1</v>
      </c>
      <c r="E117" s="10">
        <f>IF(D117=1,C117/SUMPRODUCT(C111:C121,D111:D121),0)</f>
        <v>0.10204081632653061</v>
      </c>
      <c r="F117" s="17">
        <v>0.32915463809221779</v>
      </c>
      <c r="G117" s="12">
        <v>1</v>
      </c>
      <c r="H117" s="10">
        <f>IF(G117=1,C117/SUMPRODUCT(C111:C121,G111:G121),0)</f>
        <v>8.4745762711864403E-2</v>
      </c>
      <c r="I117" s="17">
        <v>0.26653176874592449</v>
      </c>
      <c r="J117" s="15"/>
    </row>
    <row r="118" spans="1:10" x14ac:dyDescent="0.45">
      <c r="A118" s="8" t="s">
        <v>440</v>
      </c>
      <c r="B118" s="8" t="s">
        <v>407</v>
      </c>
      <c r="C118" s="12">
        <v>60</v>
      </c>
      <c r="D118" s="12">
        <v>0</v>
      </c>
      <c r="E118" s="10">
        <f>IF(D118=1,C118/SUMPRODUCT(C111:C121,D111:D121),0)</f>
        <v>0</v>
      </c>
      <c r="F118" s="17">
        <v>0</v>
      </c>
      <c r="G118" s="12">
        <v>1</v>
      </c>
      <c r="H118" s="10">
        <f>IF(G118=1,C118/SUMPRODUCT(C111:C121,G111:G121),0)</f>
        <v>0.10169491525423729</v>
      </c>
      <c r="I118" s="17">
        <v>0.31299881890794062</v>
      </c>
      <c r="J118" s="15" t="s">
        <v>429</v>
      </c>
    </row>
    <row r="119" spans="1:10" x14ac:dyDescent="0.45">
      <c r="A119" s="8" t="s">
        <v>440</v>
      </c>
      <c r="B119" s="8" t="s">
        <v>410</v>
      </c>
      <c r="C119" s="12">
        <v>100</v>
      </c>
      <c r="D119" s="12">
        <v>1</v>
      </c>
      <c r="E119" s="10">
        <f>IF(D119=1,C119/SUMPRODUCT(C111:C121,D111:D121),0)</f>
        <v>0.20408163265306123</v>
      </c>
      <c r="F119" s="17">
        <v>0.56503600928688025</v>
      </c>
      <c r="G119" s="12">
        <v>1</v>
      </c>
      <c r="H119" s="10">
        <f>IF(G119=1,C119/SUMPRODUCT(C111:C121,G111:G121),0)</f>
        <v>0.16949152542372881</v>
      </c>
      <c r="I119" s="17">
        <v>0.47407960060630849</v>
      </c>
      <c r="J119" s="15"/>
    </row>
    <row r="120" spans="1:10" x14ac:dyDescent="0.45">
      <c r="A120" s="8" t="s">
        <v>440</v>
      </c>
      <c r="B120" s="8" t="s">
        <v>412</v>
      </c>
      <c r="C120" s="12">
        <v>80</v>
      </c>
      <c r="D120" s="12">
        <v>1</v>
      </c>
      <c r="E120" s="10">
        <f>IF(D120=1,C120/SUMPRODUCT(C111:C121,D111:D121),0)</f>
        <v>0.16326530612244897</v>
      </c>
      <c r="F120" s="17">
        <v>0.48250002547882181</v>
      </c>
      <c r="G120" s="12">
        <v>1</v>
      </c>
      <c r="H120" s="10">
        <f>IF(G120=1,C120/SUMPRODUCT(C111:C121,G111:G121),0)</f>
        <v>0.13559322033898305</v>
      </c>
      <c r="I120" s="17">
        <v>0.39854835421202162</v>
      </c>
      <c r="J120" s="15"/>
    </row>
    <row r="121" spans="1:10" x14ac:dyDescent="0.45">
      <c r="A121" s="8" t="s">
        <v>440</v>
      </c>
      <c r="B121" s="8" t="s">
        <v>414</v>
      </c>
      <c r="C121" s="12">
        <v>50</v>
      </c>
      <c r="D121" s="12">
        <v>1</v>
      </c>
      <c r="E121" s="10">
        <f>IF(D121=1,C121/SUMPRODUCT(C111:C121,D111:D121),0)</f>
        <v>0.10204081632653061</v>
      </c>
      <c r="F121" s="17">
        <v>0.32915463809221801</v>
      </c>
      <c r="G121" s="12">
        <v>1</v>
      </c>
      <c r="H121" s="10">
        <f>IF(G121=1,C121/SUMPRODUCT(C111:C121,G111:G121),0)</f>
        <v>8.4745762711864403E-2</v>
      </c>
      <c r="I121" s="17">
        <v>0.26653176874592449</v>
      </c>
      <c r="J121" s="15"/>
    </row>
    <row r="122" spans="1:10" x14ac:dyDescent="0.45">
      <c r="A122" s="8" t="s">
        <v>441</v>
      </c>
      <c r="B122" s="8" t="s">
        <v>385</v>
      </c>
      <c r="C122" s="12">
        <v>80</v>
      </c>
      <c r="D122" s="12">
        <v>0</v>
      </c>
      <c r="E122" s="10">
        <f>IF(D122=1,C122/SUMPRODUCT(C122:C132,D122:D132),0)</f>
        <v>0</v>
      </c>
      <c r="F122" s="17">
        <v>0</v>
      </c>
      <c r="G122" s="12">
        <v>0</v>
      </c>
      <c r="H122" s="10">
        <f>IF(G122=1,C122/SUMPRODUCT(C122:C132,G122:G132),0)</f>
        <v>0</v>
      </c>
      <c r="I122" s="17">
        <v>0</v>
      </c>
      <c r="J122" s="15" t="s">
        <v>428</v>
      </c>
    </row>
    <row r="123" spans="1:10" x14ac:dyDescent="0.45">
      <c r="A123" s="8" t="s">
        <v>441</v>
      </c>
      <c r="B123" s="8" t="s">
        <v>389</v>
      </c>
      <c r="C123" s="12">
        <v>50</v>
      </c>
      <c r="D123" s="12">
        <v>1</v>
      </c>
      <c r="E123" s="10">
        <f>IF(D123=1,C123/SUMPRODUCT(C122:C132,D122:D132),0)</f>
        <v>0.33333333333333331</v>
      </c>
      <c r="F123" s="17">
        <v>1</v>
      </c>
      <c r="G123" s="12">
        <v>1</v>
      </c>
      <c r="H123" s="10">
        <f>IF(G123=1,C123/SUMPRODUCT(C122:C132,G122:G132),0)</f>
        <v>0.2</v>
      </c>
      <c r="I123" s="17">
        <v>0.70884787726892984</v>
      </c>
      <c r="J123" s="15"/>
    </row>
    <row r="124" spans="1:10" x14ac:dyDescent="0.45">
      <c r="A124" s="8" t="s">
        <v>441</v>
      </c>
      <c r="B124" s="8" t="s">
        <v>393</v>
      </c>
      <c r="C124" s="12">
        <v>40</v>
      </c>
      <c r="D124" s="12">
        <v>0</v>
      </c>
      <c r="E124" s="10">
        <f>IF(D124=1,C124/SUMPRODUCT(C122:C132,D122:D132),0)</f>
        <v>0</v>
      </c>
      <c r="F124" s="17">
        <v>0</v>
      </c>
      <c r="G124" s="12">
        <v>1</v>
      </c>
      <c r="H124" s="10">
        <f>IF(G124=1,C124/SUMPRODUCT(C122:C132,G122:G132),0)</f>
        <v>0.16</v>
      </c>
      <c r="I124" s="17">
        <v>0.61296574770258971</v>
      </c>
      <c r="J124" s="15" t="s">
        <v>429</v>
      </c>
    </row>
    <row r="125" spans="1:10" x14ac:dyDescent="0.45">
      <c r="A125" s="8" t="s">
        <v>441</v>
      </c>
      <c r="B125" s="8" t="s">
        <v>396</v>
      </c>
      <c r="C125" s="12">
        <v>30</v>
      </c>
      <c r="D125" s="12">
        <v>0</v>
      </c>
      <c r="E125" s="10">
        <f>IF(D125=1,C125/SUMPRODUCT(C122:C132,D122:D132),0)</f>
        <v>0</v>
      </c>
      <c r="F125" s="17">
        <v>0</v>
      </c>
      <c r="G125" s="12">
        <v>0</v>
      </c>
      <c r="H125" s="10">
        <f>IF(G125=1,C125/SUMPRODUCT(C122:C132,G122:G132),0)</f>
        <v>0</v>
      </c>
      <c r="I125" s="17">
        <v>0</v>
      </c>
      <c r="J125" s="15" t="s">
        <v>430</v>
      </c>
    </row>
    <row r="126" spans="1:10" x14ac:dyDescent="0.45">
      <c r="A126" s="8" t="s">
        <v>441</v>
      </c>
      <c r="B126" s="8" t="s">
        <v>399</v>
      </c>
      <c r="C126" s="12">
        <v>80</v>
      </c>
      <c r="D126" s="12">
        <v>0</v>
      </c>
      <c r="E126" s="10">
        <f>IF(D126=1,C126/SUMPRODUCT(C122:C132,D122:D132),0)</f>
        <v>0</v>
      </c>
      <c r="F126" s="17">
        <v>0</v>
      </c>
      <c r="G126" s="12">
        <v>0</v>
      </c>
      <c r="H126" s="10">
        <f>IF(G126=1,C126/SUMPRODUCT(C122:C132,G122:G132),0)</f>
        <v>0</v>
      </c>
      <c r="I126" s="17">
        <v>0</v>
      </c>
      <c r="J126" s="15" t="s">
        <v>428</v>
      </c>
    </row>
    <row r="127" spans="1:10" x14ac:dyDescent="0.45">
      <c r="A127" s="8" t="s">
        <v>441</v>
      </c>
      <c r="B127" s="8" t="s">
        <v>401</v>
      </c>
      <c r="C127" s="12">
        <v>100</v>
      </c>
      <c r="D127" s="12">
        <v>1</v>
      </c>
      <c r="E127" s="10">
        <f>IF(D127=1,C127/SUMPRODUCT(C122:C132,D122:D132),0)</f>
        <v>0.66666666666666663</v>
      </c>
      <c r="F127" s="17">
        <v>1</v>
      </c>
      <c r="G127" s="12">
        <v>1</v>
      </c>
      <c r="H127" s="10">
        <f>IF(G127=1,C127/SUMPRODUCT(C122:C132,G122:G132),0)</f>
        <v>0.4</v>
      </c>
      <c r="I127" s="17">
        <v>0.9034461152882205</v>
      </c>
      <c r="J127" s="15"/>
    </row>
    <row r="128" spans="1:10" x14ac:dyDescent="0.45">
      <c r="A128" s="8" t="s">
        <v>441</v>
      </c>
      <c r="B128" s="8" t="s">
        <v>404</v>
      </c>
      <c r="C128" s="12">
        <v>50</v>
      </c>
      <c r="D128" s="12">
        <v>0</v>
      </c>
      <c r="E128" s="10">
        <f>IF(D128=1,C128/SUMPRODUCT(C122:C132,D122:D132),0)</f>
        <v>0</v>
      </c>
      <c r="F128" s="17">
        <v>0</v>
      </c>
      <c r="G128" s="12">
        <v>0</v>
      </c>
      <c r="H128" s="10">
        <f>IF(G128=1,C128/SUMPRODUCT(C122:C132,G122:G132),0)</f>
        <v>0</v>
      </c>
      <c r="I128" s="17">
        <v>0</v>
      </c>
      <c r="J128" s="15" t="s">
        <v>431</v>
      </c>
    </row>
    <row r="129" spans="1:10" x14ac:dyDescent="0.45">
      <c r="A129" s="8" t="s">
        <v>441</v>
      </c>
      <c r="B129" s="8" t="s">
        <v>407</v>
      </c>
      <c r="C129" s="12">
        <v>60</v>
      </c>
      <c r="D129" s="12">
        <v>0</v>
      </c>
      <c r="E129" s="10">
        <f>IF(D129=1,C129/SUMPRODUCT(C122:C132,D122:D132),0)</f>
        <v>0</v>
      </c>
      <c r="F129" s="17">
        <v>0</v>
      </c>
      <c r="G129" s="12">
        <v>1</v>
      </c>
      <c r="H129" s="10">
        <f>IF(G129=1,C129/SUMPRODUCT(C122:C132,G122:G132),0)</f>
        <v>0.24</v>
      </c>
      <c r="I129" s="17">
        <v>0.77474025974025962</v>
      </c>
      <c r="J129" s="15" t="s">
        <v>429</v>
      </c>
    </row>
    <row r="130" spans="1:10" x14ac:dyDescent="0.45">
      <c r="A130" s="8" t="s">
        <v>441</v>
      </c>
      <c r="B130" s="8" t="s">
        <v>410</v>
      </c>
      <c r="C130" s="12">
        <v>100</v>
      </c>
      <c r="D130" s="12">
        <v>0</v>
      </c>
      <c r="E130" s="10">
        <f>IF(D130=1,C130/SUMPRODUCT(C122:C132,D122:D132),0)</f>
        <v>0</v>
      </c>
      <c r="F130" s="17">
        <v>0</v>
      </c>
      <c r="G130" s="12">
        <v>0</v>
      </c>
      <c r="H130" s="10">
        <f>IF(G130=1,C130/SUMPRODUCT(C122:C132,G122:G132),0)</f>
        <v>0</v>
      </c>
      <c r="I130" s="17">
        <v>0</v>
      </c>
      <c r="J130" s="15" t="s">
        <v>431</v>
      </c>
    </row>
    <row r="131" spans="1:10" x14ac:dyDescent="0.45">
      <c r="A131" s="8" t="s">
        <v>441</v>
      </c>
      <c r="B131" s="8" t="s">
        <v>412</v>
      </c>
      <c r="C131" s="12">
        <v>80</v>
      </c>
      <c r="D131" s="12">
        <v>0</v>
      </c>
      <c r="E131" s="10">
        <f>IF(D131=1,C131/SUMPRODUCT(C122:C132,D122:D132),0)</f>
        <v>0</v>
      </c>
      <c r="F131" s="17">
        <v>0</v>
      </c>
      <c r="G131" s="12">
        <v>0</v>
      </c>
      <c r="H131" s="10">
        <f>IF(G131=1,C131/SUMPRODUCT(C122:C132,G122:G132),0)</f>
        <v>0</v>
      </c>
      <c r="I131" s="17">
        <v>0</v>
      </c>
      <c r="J131" s="15" t="s">
        <v>428</v>
      </c>
    </row>
    <row r="132" spans="1:10" x14ac:dyDescent="0.45">
      <c r="A132" s="8" t="s">
        <v>441</v>
      </c>
      <c r="B132" s="8" t="s">
        <v>414</v>
      </c>
      <c r="C132" s="12">
        <v>50</v>
      </c>
      <c r="D132" s="12">
        <v>0</v>
      </c>
      <c r="E132" s="10">
        <f>IF(D132=1,C132/SUMPRODUCT(C122:C132,D122:D132),0)</f>
        <v>0</v>
      </c>
      <c r="F132" s="17">
        <v>0</v>
      </c>
      <c r="G132" s="12">
        <v>0</v>
      </c>
      <c r="H132" s="10">
        <f>IF(G132=1,C132/SUMPRODUCT(C122:C132,G122:G132),0)</f>
        <v>0</v>
      </c>
      <c r="I132" s="17">
        <v>0</v>
      </c>
      <c r="J132" s="15" t="s">
        <v>431</v>
      </c>
    </row>
    <row r="133" spans="1:10" x14ac:dyDescent="0.45">
      <c r="A133" s="8" t="s">
        <v>442</v>
      </c>
      <c r="B133" s="8" t="s">
        <v>385</v>
      </c>
      <c r="C133" s="12">
        <v>80</v>
      </c>
      <c r="D133" s="12">
        <v>0</v>
      </c>
      <c r="E133" s="10">
        <f>IF(D133=1,C133/SUMPRODUCT(C133:C143,D133:D143),0)</f>
        <v>0</v>
      </c>
      <c r="F133" s="17">
        <v>0</v>
      </c>
      <c r="G133" s="12">
        <v>0</v>
      </c>
      <c r="H133" s="10">
        <f>IF(G133=1,C133/SUMPRODUCT(C133:C143,G133:G143),0)</f>
        <v>0</v>
      </c>
      <c r="I133" s="17">
        <v>0</v>
      </c>
      <c r="J133" s="15" t="s">
        <v>428</v>
      </c>
    </row>
    <row r="134" spans="1:10" x14ac:dyDescent="0.45">
      <c r="A134" s="8" t="s">
        <v>442</v>
      </c>
      <c r="B134" s="8" t="s">
        <v>389</v>
      </c>
      <c r="C134" s="12">
        <v>50</v>
      </c>
      <c r="D134" s="12">
        <v>1</v>
      </c>
      <c r="E134" s="10">
        <f>IF(D134=1,C134/SUMPRODUCT(C133:C143,D133:D143),0)</f>
        <v>1</v>
      </c>
      <c r="F134" s="17">
        <v>1</v>
      </c>
      <c r="G134" s="12">
        <v>1</v>
      </c>
      <c r="H134" s="10">
        <f>IF(G134=1,C134/SUMPRODUCT(C133:C143,G133:G143),0)</f>
        <v>0.33333333333333331</v>
      </c>
      <c r="I134" s="17">
        <v>1</v>
      </c>
      <c r="J134" s="15"/>
    </row>
    <row r="135" spans="1:10" x14ac:dyDescent="0.45">
      <c r="A135" s="8" t="s">
        <v>442</v>
      </c>
      <c r="B135" s="8" t="s">
        <v>393</v>
      </c>
      <c r="C135" s="12">
        <v>40</v>
      </c>
      <c r="D135" s="12">
        <v>0</v>
      </c>
      <c r="E135" s="10">
        <f>IF(D135=1,C135/SUMPRODUCT(C133:C143,D133:D143),0)</f>
        <v>0</v>
      </c>
      <c r="F135" s="17">
        <v>0</v>
      </c>
      <c r="G135" s="12">
        <v>1</v>
      </c>
      <c r="H135" s="10">
        <f>IF(G135=1,C135/SUMPRODUCT(C133:C143,G133:G143),0)</f>
        <v>0.26666666666666666</v>
      </c>
      <c r="I135" s="17">
        <v>1</v>
      </c>
      <c r="J135" s="15" t="s">
        <v>429</v>
      </c>
    </row>
    <row r="136" spans="1:10" x14ac:dyDescent="0.45">
      <c r="A136" s="8" t="s">
        <v>442</v>
      </c>
      <c r="B136" s="8" t="s">
        <v>396</v>
      </c>
      <c r="C136" s="12">
        <v>30</v>
      </c>
      <c r="D136" s="12">
        <v>0</v>
      </c>
      <c r="E136" s="10">
        <f>IF(D136=1,C136/SUMPRODUCT(C133:C143,D133:D143),0)</f>
        <v>0</v>
      </c>
      <c r="F136" s="17">
        <v>0</v>
      </c>
      <c r="G136" s="12">
        <v>0</v>
      </c>
      <c r="H136" s="10">
        <f>IF(G136=1,C136/SUMPRODUCT(C133:C143,G133:G143),0)</f>
        <v>0</v>
      </c>
      <c r="I136" s="17">
        <v>0</v>
      </c>
      <c r="J136" s="15" t="s">
        <v>430</v>
      </c>
    </row>
    <row r="137" spans="1:10" x14ac:dyDescent="0.45">
      <c r="A137" s="8" t="s">
        <v>442</v>
      </c>
      <c r="B137" s="8" t="s">
        <v>399</v>
      </c>
      <c r="C137" s="12">
        <v>80</v>
      </c>
      <c r="D137" s="12">
        <v>0</v>
      </c>
      <c r="E137" s="10">
        <f>IF(D137=1,C137/SUMPRODUCT(C133:C143,D133:D143),0)</f>
        <v>0</v>
      </c>
      <c r="F137" s="17">
        <v>0</v>
      </c>
      <c r="G137" s="12">
        <v>0</v>
      </c>
      <c r="H137" s="10">
        <f>IF(G137=1,C137/SUMPRODUCT(C133:C143,G133:G143),0)</f>
        <v>0</v>
      </c>
      <c r="I137" s="17">
        <v>0</v>
      </c>
      <c r="J137" s="15" t="s">
        <v>428</v>
      </c>
    </row>
    <row r="138" spans="1:10" x14ac:dyDescent="0.45">
      <c r="A138" s="8" t="s">
        <v>442</v>
      </c>
      <c r="B138" s="8" t="s">
        <v>401</v>
      </c>
      <c r="C138" s="12">
        <v>100</v>
      </c>
      <c r="D138" s="12">
        <v>0</v>
      </c>
      <c r="E138" s="10">
        <f>IF(D138=1,C138/SUMPRODUCT(C133:C143,D133:D143),0)</f>
        <v>0</v>
      </c>
      <c r="F138" s="17">
        <v>0</v>
      </c>
      <c r="G138" s="12">
        <v>0</v>
      </c>
      <c r="H138" s="10">
        <f>IF(G138=1,C138/SUMPRODUCT(C133:C143,G133:G143),0)</f>
        <v>0</v>
      </c>
      <c r="I138" s="17">
        <v>0</v>
      </c>
      <c r="J138" s="15" t="s">
        <v>431</v>
      </c>
    </row>
    <row r="139" spans="1:10" x14ac:dyDescent="0.45">
      <c r="A139" s="8" t="s">
        <v>442</v>
      </c>
      <c r="B139" s="8" t="s">
        <v>404</v>
      </c>
      <c r="C139" s="12">
        <v>50</v>
      </c>
      <c r="D139" s="12">
        <v>0</v>
      </c>
      <c r="E139" s="10">
        <f>IF(D139=1,C139/SUMPRODUCT(C133:C143,D133:D143),0)</f>
        <v>0</v>
      </c>
      <c r="F139" s="17">
        <v>0</v>
      </c>
      <c r="G139" s="12">
        <v>0</v>
      </c>
      <c r="H139" s="10">
        <f>IF(G139=1,C139/SUMPRODUCT(C133:C143,G133:G143),0)</f>
        <v>0</v>
      </c>
      <c r="I139" s="17">
        <v>0</v>
      </c>
      <c r="J139" s="15" t="s">
        <v>431</v>
      </c>
    </row>
    <row r="140" spans="1:10" x14ac:dyDescent="0.45">
      <c r="A140" s="8" t="s">
        <v>442</v>
      </c>
      <c r="B140" s="8" t="s">
        <v>407</v>
      </c>
      <c r="C140" s="12">
        <v>60</v>
      </c>
      <c r="D140" s="12">
        <v>0</v>
      </c>
      <c r="E140" s="10">
        <f>IF(D140=1,C140/SUMPRODUCT(C133:C143,D133:D143),0)</f>
        <v>0</v>
      </c>
      <c r="F140" s="17">
        <v>0</v>
      </c>
      <c r="G140" s="12">
        <v>1</v>
      </c>
      <c r="H140" s="10">
        <f>IF(G140=1,C140/SUMPRODUCT(C133:C143,G133:G143),0)</f>
        <v>0.4</v>
      </c>
      <c r="I140" s="17">
        <v>1</v>
      </c>
      <c r="J140" s="15" t="s">
        <v>429</v>
      </c>
    </row>
    <row r="141" spans="1:10" x14ac:dyDescent="0.45">
      <c r="A141" s="8" t="s">
        <v>442</v>
      </c>
      <c r="B141" s="8" t="s">
        <v>410</v>
      </c>
      <c r="C141" s="12">
        <v>100</v>
      </c>
      <c r="D141" s="12">
        <v>0</v>
      </c>
      <c r="E141" s="10">
        <f>IF(D141=1,C141/SUMPRODUCT(C133:C143,D133:D143),0)</f>
        <v>0</v>
      </c>
      <c r="F141" s="17">
        <v>0</v>
      </c>
      <c r="G141" s="12">
        <v>0</v>
      </c>
      <c r="H141" s="10">
        <f>IF(G141=1,C141/SUMPRODUCT(C133:C143,G133:G143),0)</f>
        <v>0</v>
      </c>
      <c r="I141" s="17">
        <v>0</v>
      </c>
      <c r="J141" s="15" t="s">
        <v>431</v>
      </c>
    </row>
    <row r="142" spans="1:10" x14ac:dyDescent="0.45">
      <c r="A142" s="8" t="s">
        <v>442</v>
      </c>
      <c r="B142" s="8" t="s">
        <v>412</v>
      </c>
      <c r="C142" s="12">
        <v>80</v>
      </c>
      <c r="D142" s="12">
        <v>0</v>
      </c>
      <c r="E142" s="10">
        <f>IF(D142=1,C142/SUMPRODUCT(C133:C143,D133:D143),0)</f>
        <v>0</v>
      </c>
      <c r="F142" s="17">
        <v>0</v>
      </c>
      <c r="G142" s="12">
        <v>0</v>
      </c>
      <c r="H142" s="10">
        <f>IF(G142=1,C142/SUMPRODUCT(C133:C143,G133:G143),0)</f>
        <v>0</v>
      </c>
      <c r="I142" s="17">
        <v>0</v>
      </c>
      <c r="J142" s="15" t="s">
        <v>428</v>
      </c>
    </row>
    <row r="143" spans="1:10" x14ac:dyDescent="0.45">
      <c r="A143" s="8" t="s">
        <v>442</v>
      </c>
      <c r="B143" s="8" t="s">
        <v>414</v>
      </c>
      <c r="C143" s="12">
        <v>50</v>
      </c>
      <c r="D143" s="12">
        <v>0</v>
      </c>
      <c r="E143" s="10">
        <f>IF(D143=1,C143/SUMPRODUCT(C133:C143,D133:D143),0)</f>
        <v>0</v>
      </c>
      <c r="F143" s="17">
        <v>0</v>
      </c>
      <c r="G143" s="12">
        <v>0</v>
      </c>
      <c r="H143" s="10">
        <f>IF(G143=1,C143/SUMPRODUCT(C133:C143,G133:G143),0)</f>
        <v>0</v>
      </c>
      <c r="I143" s="17">
        <v>0</v>
      </c>
      <c r="J143" s="15" t="s">
        <v>431</v>
      </c>
    </row>
    <row r="144" spans="1:10" x14ac:dyDescent="0.45">
      <c r="A144" s="8" t="s">
        <v>443</v>
      </c>
      <c r="B144" s="8" t="s">
        <v>385</v>
      </c>
      <c r="C144" s="12">
        <v>80</v>
      </c>
      <c r="D144" s="12">
        <v>1</v>
      </c>
      <c r="E144" s="10">
        <f>IF(D144=1,C144/SUMPRODUCT(C144:C154,D144:D154),0)</f>
        <v>0.16326530612244897</v>
      </c>
      <c r="F144" s="17">
        <v>0.48250002547882193</v>
      </c>
      <c r="G144" s="12">
        <v>1</v>
      </c>
      <c r="H144" s="10">
        <f>IF(G144=1,C144/SUMPRODUCT(C144:C154,G144:G154),0)</f>
        <v>0.13559322033898305</v>
      </c>
      <c r="I144" s="17">
        <v>0.39854835421202139</v>
      </c>
      <c r="J144" s="15"/>
    </row>
    <row r="145" spans="1:10" x14ac:dyDescent="0.45">
      <c r="A145" s="8" t="s">
        <v>443</v>
      </c>
      <c r="B145" s="8" t="s">
        <v>389</v>
      </c>
      <c r="C145" s="12">
        <v>50</v>
      </c>
      <c r="D145" s="12">
        <v>1</v>
      </c>
      <c r="E145" s="10">
        <f>IF(D145=1,C145/SUMPRODUCT(C144:C154,D144:D154),0)</f>
        <v>0.10204081632653061</v>
      </c>
      <c r="F145" s="17">
        <v>0.3291546380922179</v>
      </c>
      <c r="G145" s="12">
        <v>1</v>
      </c>
      <c r="H145" s="10">
        <f>IF(G145=1,C145/SUMPRODUCT(C144:C154,G144:G154),0)</f>
        <v>8.4745762711864403E-2</v>
      </c>
      <c r="I145" s="17">
        <v>0.26653176874592438</v>
      </c>
      <c r="J145" s="15"/>
    </row>
    <row r="146" spans="1:10" x14ac:dyDescent="0.45">
      <c r="A146" s="8" t="s">
        <v>443</v>
      </c>
      <c r="B146" s="8" t="s">
        <v>393</v>
      </c>
      <c r="C146" s="12">
        <v>40</v>
      </c>
      <c r="D146" s="12">
        <v>0</v>
      </c>
      <c r="E146" s="10">
        <f>IF(D146=1,C146/SUMPRODUCT(C144:C154,D144:D154),0)</f>
        <v>0</v>
      </c>
      <c r="F146" s="17">
        <v>0</v>
      </c>
      <c r="G146" s="12">
        <v>1</v>
      </c>
      <c r="H146" s="10">
        <f>IF(G146=1,C146/SUMPRODUCT(C144:C154,G144:G154),0)</f>
        <v>6.7796610169491525E-2</v>
      </c>
      <c r="I146" s="17">
        <v>0.2176812116119124</v>
      </c>
      <c r="J146" s="15" t="s">
        <v>429</v>
      </c>
    </row>
    <row r="147" spans="1:10" x14ac:dyDescent="0.45">
      <c r="A147" s="8" t="s">
        <v>443</v>
      </c>
      <c r="B147" s="8" t="s">
        <v>396</v>
      </c>
      <c r="C147" s="12">
        <v>30</v>
      </c>
      <c r="D147" s="12">
        <v>0</v>
      </c>
      <c r="E147" s="10">
        <f>IF(D147=1,C147/SUMPRODUCT(C144:C154,D144:D154),0)</f>
        <v>0</v>
      </c>
      <c r="F147" s="17">
        <v>0</v>
      </c>
      <c r="G147" s="12">
        <v>0</v>
      </c>
      <c r="H147" s="10">
        <f>IF(G147=1,C147/SUMPRODUCT(C144:C154,G144:G154),0)</f>
        <v>0</v>
      </c>
      <c r="I147" s="17">
        <v>0</v>
      </c>
      <c r="J147" s="15" t="s">
        <v>430</v>
      </c>
    </row>
    <row r="148" spans="1:10" x14ac:dyDescent="0.45">
      <c r="A148" s="8" t="s">
        <v>443</v>
      </c>
      <c r="B148" s="8" t="s">
        <v>399</v>
      </c>
      <c r="C148" s="12">
        <v>80</v>
      </c>
      <c r="D148" s="12">
        <v>1</v>
      </c>
      <c r="E148" s="10">
        <f>IF(D148=1,C148/SUMPRODUCT(C144:C154,D144:D154),0)</f>
        <v>0.16326530612244897</v>
      </c>
      <c r="F148" s="17">
        <v>0.48250002547882198</v>
      </c>
      <c r="G148" s="12">
        <v>1</v>
      </c>
      <c r="H148" s="10">
        <f>IF(G148=1,C148/SUMPRODUCT(C144:C154,G144:G154),0)</f>
        <v>0.13559322033898305</v>
      </c>
      <c r="I148" s="17">
        <v>0.39854835421202151</v>
      </c>
      <c r="J148" s="15"/>
    </row>
    <row r="149" spans="1:10" x14ac:dyDescent="0.45">
      <c r="A149" s="8" t="s">
        <v>443</v>
      </c>
      <c r="B149" s="8" t="s">
        <v>401</v>
      </c>
      <c r="C149" s="12">
        <v>100</v>
      </c>
      <c r="D149" s="12">
        <v>0</v>
      </c>
      <c r="E149" s="10">
        <f>IF(D149=1,C149/SUMPRODUCT(C144:C154,D144:D154),0)</f>
        <v>0</v>
      </c>
      <c r="F149" s="17">
        <v>0</v>
      </c>
      <c r="G149" s="12">
        <v>0</v>
      </c>
      <c r="H149" s="10">
        <f>IF(G149=1,C149/SUMPRODUCT(C144:C154,G144:G154),0)</f>
        <v>0</v>
      </c>
      <c r="I149" s="17">
        <v>0</v>
      </c>
      <c r="J149" s="15" t="s">
        <v>431</v>
      </c>
    </row>
    <row r="150" spans="1:10" x14ac:dyDescent="0.45">
      <c r="A150" s="8" t="s">
        <v>443</v>
      </c>
      <c r="B150" s="8" t="s">
        <v>404</v>
      </c>
      <c r="C150" s="12">
        <v>50</v>
      </c>
      <c r="D150" s="12">
        <v>1</v>
      </c>
      <c r="E150" s="10">
        <f>IF(D150=1,C150/SUMPRODUCT(C144:C154,D144:D154),0)</f>
        <v>0.10204081632653061</v>
      </c>
      <c r="F150" s="17">
        <v>0.32915463809221779</v>
      </c>
      <c r="G150" s="12">
        <v>1</v>
      </c>
      <c r="H150" s="10">
        <f>IF(G150=1,C150/SUMPRODUCT(C144:C154,G144:G154),0)</f>
        <v>8.4745762711864403E-2</v>
      </c>
      <c r="I150" s="17">
        <v>0.26653176874592449</v>
      </c>
      <c r="J150" s="15"/>
    </row>
    <row r="151" spans="1:10" x14ac:dyDescent="0.45">
      <c r="A151" s="8" t="s">
        <v>443</v>
      </c>
      <c r="B151" s="8" t="s">
        <v>407</v>
      </c>
      <c r="C151" s="12">
        <v>60</v>
      </c>
      <c r="D151" s="12">
        <v>0</v>
      </c>
      <c r="E151" s="10">
        <f>IF(D151=1,C151/SUMPRODUCT(C144:C154,D144:D154),0)</f>
        <v>0</v>
      </c>
      <c r="F151" s="17">
        <v>0</v>
      </c>
      <c r="G151" s="12">
        <v>1</v>
      </c>
      <c r="H151" s="10">
        <f>IF(G151=1,C151/SUMPRODUCT(C144:C154,G144:G154),0)</f>
        <v>0.10169491525423729</v>
      </c>
      <c r="I151" s="17">
        <v>0.31299881890794062</v>
      </c>
      <c r="J151" s="15" t="s">
        <v>429</v>
      </c>
    </row>
    <row r="152" spans="1:10" x14ac:dyDescent="0.45">
      <c r="A152" s="8" t="s">
        <v>443</v>
      </c>
      <c r="B152" s="8" t="s">
        <v>410</v>
      </c>
      <c r="C152" s="12">
        <v>100</v>
      </c>
      <c r="D152" s="12">
        <v>1</v>
      </c>
      <c r="E152" s="10">
        <f>IF(D152=1,C152/SUMPRODUCT(C144:C154,D144:D154),0)</f>
        <v>0.20408163265306123</v>
      </c>
      <c r="F152" s="17">
        <v>0.56503600928688025</v>
      </c>
      <c r="G152" s="12">
        <v>1</v>
      </c>
      <c r="H152" s="10">
        <f>IF(G152=1,C152/SUMPRODUCT(C144:C154,G144:G154),0)</f>
        <v>0.16949152542372881</v>
      </c>
      <c r="I152" s="17">
        <v>0.47407960060630849</v>
      </c>
      <c r="J152" s="15"/>
    </row>
    <row r="153" spans="1:10" x14ac:dyDescent="0.45">
      <c r="A153" s="8" t="s">
        <v>443</v>
      </c>
      <c r="B153" s="8" t="s">
        <v>412</v>
      </c>
      <c r="C153" s="12">
        <v>80</v>
      </c>
      <c r="D153" s="12">
        <v>1</v>
      </c>
      <c r="E153" s="10">
        <f>IF(D153=1,C153/SUMPRODUCT(C144:C154,D144:D154),0)</f>
        <v>0.16326530612244897</v>
      </c>
      <c r="F153" s="17">
        <v>0.48250002547882181</v>
      </c>
      <c r="G153" s="12">
        <v>1</v>
      </c>
      <c r="H153" s="10">
        <f>IF(G153=1,C153/SUMPRODUCT(C144:C154,G144:G154),0)</f>
        <v>0.13559322033898305</v>
      </c>
      <c r="I153" s="17">
        <v>0.39854835421202162</v>
      </c>
      <c r="J153" s="15"/>
    </row>
    <row r="154" spans="1:10" x14ac:dyDescent="0.45">
      <c r="A154" s="8" t="s">
        <v>443</v>
      </c>
      <c r="B154" s="8" t="s">
        <v>414</v>
      </c>
      <c r="C154" s="12">
        <v>50</v>
      </c>
      <c r="D154" s="12">
        <v>1</v>
      </c>
      <c r="E154" s="10">
        <f>IF(D154=1,C154/SUMPRODUCT(C144:C154,D144:D154),0)</f>
        <v>0.10204081632653061</v>
      </c>
      <c r="F154" s="17">
        <v>0.32915463809221801</v>
      </c>
      <c r="G154" s="12">
        <v>1</v>
      </c>
      <c r="H154" s="10">
        <f>IF(G154=1,C154/SUMPRODUCT(C144:C154,G144:G154),0)</f>
        <v>8.4745762711864403E-2</v>
      </c>
      <c r="I154" s="17">
        <v>0.26653176874592449</v>
      </c>
      <c r="J154" s="15"/>
    </row>
    <row r="155" spans="1:10" x14ac:dyDescent="0.45">
      <c r="A155" s="8" t="s">
        <v>444</v>
      </c>
      <c r="B155" s="8" t="s">
        <v>385</v>
      </c>
      <c r="C155" s="12">
        <v>80</v>
      </c>
      <c r="D155" s="12">
        <v>1</v>
      </c>
      <c r="E155" s="10">
        <f>IF(D155=1,C155/SUMPRODUCT(C155:C165,D155:D165),0)</f>
        <v>0.16326530612244897</v>
      </c>
      <c r="F155" s="17">
        <v>0.48250002547882193</v>
      </c>
      <c r="G155" s="12">
        <v>1</v>
      </c>
      <c r="H155" s="10">
        <f>IF(G155=1,C155/SUMPRODUCT(C155:C165,G155:G165),0)</f>
        <v>0.13559322033898305</v>
      </c>
      <c r="I155" s="17">
        <v>0.39854835421202139</v>
      </c>
      <c r="J155" s="15"/>
    </row>
    <row r="156" spans="1:10" x14ac:dyDescent="0.45">
      <c r="A156" s="8" t="s">
        <v>444</v>
      </c>
      <c r="B156" s="8" t="s">
        <v>389</v>
      </c>
      <c r="C156" s="12">
        <v>50</v>
      </c>
      <c r="D156" s="12">
        <v>1</v>
      </c>
      <c r="E156" s="10">
        <f>IF(D156=1,C156/SUMPRODUCT(C155:C165,D155:D165),0)</f>
        <v>0.10204081632653061</v>
      </c>
      <c r="F156" s="17">
        <v>0.3291546380922179</v>
      </c>
      <c r="G156" s="12">
        <v>1</v>
      </c>
      <c r="H156" s="10">
        <f>IF(G156=1,C156/SUMPRODUCT(C155:C165,G155:G165),0)</f>
        <v>8.4745762711864403E-2</v>
      </c>
      <c r="I156" s="17">
        <v>0.26653176874592438</v>
      </c>
      <c r="J156" s="15"/>
    </row>
    <row r="157" spans="1:10" x14ac:dyDescent="0.45">
      <c r="A157" s="8" t="s">
        <v>444</v>
      </c>
      <c r="B157" s="8" t="s">
        <v>393</v>
      </c>
      <c r="C157" s="12">
        <v>40</v>
      </c>
      <c r="D157" s="12">
        <v>0</v>
      </c>
      <c r="E157" s="10">
        <f>IF(D157=1,C157/SUMPRODUCT(C155:C165,D155:D165),0)</f>
        <v>0</v>
      </c>
      <c r="F157" s="17">
        <v>0</v>
      </c>
      <c r="G157" s="12">
        <v>1</v>
      </c>
      <c r="H157" s="10">
        <f>IF(G157=1,C157/SUMPRODUCT(C155:C165,G155:G165),0)</f>
        <v>6.7796610169491525E-2</v>
      </c>
      <c r="I157" s="17">
        <v>0.2176812116119124</v>
      </c>
      <c r="J157" s="15" t="s">
        <v>429</v>
      </c>
    </row>
    <row r="158" spans="1:10" x14ac:dyDescent="0.45">
      <c r="A158" s="8" t="s">
        <v>444</v>
      </c>
      <c r="B158" s="8" t="s">
        <v>396</v>
      </c>
      <c r="C158" s="12">
        <v>30</v>
      </c>
      <c r="D158" s="12">
        <v>0</v>
      </c>
      <c r="E158" s="10">
        <f>IF(D158=1,C158/SUMPRODUCT(C155:C165,D155:D165),0)</f>
        <v>0</v>
      </c>
      <c r="F158" s="17">
        <v>0</v>
      </c>
      <c r="G158" s="12">
        <v>0</v>
      </c>
      <c r="H158" s="10">
        <f>IF(G158=1,C158/SUMPRODUCT(C155:C165,G155:G165),0)</f>
        <v>0</v>
      </c>
      <c r="I158" s="17">
        <v>0</v>
      </c>
      <c r="J158" s="15" t="s">
        <v>430</v>
      </c>
    </row>
    <row r="159" spans="1:10" x14ac:dyDescent="0.45">
      <c r="A159" s="8" t="s">
        <v>444</v>
      </c>
      <c r="B159" s="8" t="s">
        <v>399</v>
      </c>
      <c r="C159" s="12">
        <v>80</v>
      </c>
      <c r="D159" s="12">
        <v>1</v>
      </c>
      <c r="E159" s="10">
        <f>IF(D159=1,C159/SUMPRODUCT(C155:C165,D155:D165),0)</f>
        <v>0.16326530612244897</v>
      </c>
      <c r="F159" s="17">
        <v>0.48250002547882198</v>
      </c>
      <c r="G159" s="12">
        <v>1</v>
      </c>
      <c r="H159" s="10">
        <f>IF(G159=1,C159/SUMPRODUCT(C155:C165,G155:G165),0)</f>
        <v>0.13559322033898305</v>
      </c>
      <c r="I159" s="17">
        <v>0.39854835421202151</v>
      </c>
      <c r="J159" s="15"/>
    </row>
    <row r="160" spans="1:10" x14ac:dyDescent="0.45">
      <c r="A160" s="8" t="s">
        <v>444</v>
      </c>
      <c r="B160" s="8" t="s">
        <v>401</v>
      </c>
      <c r="C160" s="12">
        <v>100</v>
      </c>
      <c r="D160" s="12">
        <v>0</v>
      </c>
      <c r="E160" s="10">
        <f>IF(D160=1,C160/SUMPRODUCT(C155:C165,D155:D165),0)</f>
        <v>0</v>
      </c>
      <c r="F160" s="17">
        <v>0</v>
      </c>
      <c r="G160" s="12">
        <v>0</v>
      </c>
      <c r="H160" s="10">
        <f>IF(G160=1,C160/SUMPRODUCT(C155:C165,G155:G165),0)</f>
        <v>0</v>
      </c>
      <c r="I160" s="17">
        <v>0</v>
      </c>
      <c r="J160" s="15" t="s">
        <v>431</v>
      </c>
    </row>
    <row r="161" spans="1:10" x14ac:dyDescent="0.45">
      <c r="A161" s="8" t="s">
        <v>444</v>
      </c>
      <c r="B161" s="8" t="s">
        <v>404</v>
      </c>
      <c r="C161" s="12">
        <v>50</v>
      </c>
      <c r="D161" s="12">
        <v>1</v>
      </c>
      <c r="E161" s="10">
        <f>IF(D161=1,C161/SUMPRODUCT(C155:C165,D155:D165),0)</f>
        <v>0.10204081632653061</v>
      </c>
      <c r="F161" s="17">
        <v>0.32915463809221779</v>
      </c>
      <c r="G161" s="12">
        <v>1</v>
      </c>
      <c r="H161" s="10">
        <f>IF(G161=1,C161/SUMPRODUCT(C155:C165,G155:G165),0)</f>
        <v>8.4745762711864403E-2</v>
      </c>
      <c r="I161" s="17">
        <v>0.26653176874592449</v>
      </c>
      <c r="J161" s="15"/>
    </row>
    <row r="162" spans="1:10" x14ac:dyDescent="0.45">
      <c r="A162" s="8" t="s">
        <v>444</v>
      </c>
      <c r="B162" s="8" t="s">
        <v>407</v>
      </c>
      <c r="C162" s="12">
        <v>60</v>
      </c>
      <c r="D162" s="12">
        <v>0</v>
      </c>
      <c r="E162" s="10">
        <f>IF(D162=1,C162/SUMPRODUCT(C155:C165,D155:D165),0)</f>
        <v>0</v>
      </c>
      <c r="F162" s="17">
        <v>0</v>
      </c>
      <c r="G162" s="12">
        <v>1</v>
      </c>
      <c r="H162" s="10">
        <f>IF(G162=1,C162/SUMPRODUCT(C155:C165,G155:G165),0)</f>
        <v>0.10169491525423729</v>
      </c>
      <c r="I162" s="17">
        <v>0.31299881890794062</v>
      </c>
      <c r="J162" s="15" t="s">
        <v>429</v>
      </c>
    </row>
    <row r="163" spans="1:10" x14ac:dyDescent="0.45">
      <c r="A163" s="8" t="s">
        <v>444</v>
      </c>
      <c r="B163" s="8" t="s">
        <v>410</v>
      </c>
      <c r="C163" s="12">
        <v>100</v>
      </c>
      <c r="D163" s="12">
        <v>1</v>
      </c>
      <c r="E163" s="10">
        <f>IF(D163=1,C163/SUMPRODUCT(C155:C165,D155:D165),0)</f>
        <v>0.20408163265306123</v>
      </c>
      <c r="F163" s="17">
        <v>0.56503600928688025</v>
      </c>
      <c r="G163" s="12">
        <v>1</v>
      </c>
      <c r="H163" s="10">
        <f>IF(G163=1,C163/SUMPRODUCT(C155:C165,G155:G165),0)</f>
        <v>0.16949152542372881</v>
      </c>
      <c r="I163" s="17">
        <v>0.47407960060630849</v>
      </c>
      <c r="J163" s="15"/>
    </row>
    <row r="164" spans="1:10" x14ac:dyDescent="0.45">
      <c r="A164" s="8" t="s">
        <v>444</v>
      </c>
      <c r="B164" s="8" t="s">
        <v>412</v>
      </c>
      <c r="C164" s="12">
        <v>80</v>
      </c>
      <c r="D164" s="12">
        <v>1</v>
      </c>
      <c r="E164" s="10">
        <f>IF(D164=1,C164/SUMPRODUCT(C155:C165,D155:D165),0)</f>
        <v>0.16326530612244897</v>
      </c>
      <c r="F164" s="17">
        <v>0.48250002547882181</v>
      </c>
      <c r="G164" s="12">
        <v>1</v>
      </c>
      <c r="H164" s="10">
        <f>IF(G164=1,C164/SUMPRODUCT(C155:C165,G155:G165),0)</f>
        <v>0.13559322033898305</v>
      </c>
      <c r="I164" s="17">
        <v>0.39854835421202162</v>
      </c>
      <c r="J164" s="15"/>
    </row>
    <row r="165" spans="1:10" x14ac:dyDescent="0.45">
      <c r="A165" s="8" t="s">
        <v>444</v>
      </c>
      <c r="B165" s="8" t="s">
        <v>414</v>
      </c>
      <c r="C165" s="12">
        <v>50</v>
      </c>
      <c r="D165" s="12">
        <v>1</v>
      </c>
      <c r="E165" s="10">
        <f>IF(D165=1,C165/SUMPRODUCT(C155:C165,D155:D165),0)</f>
        <v>0.10204081632653061</v>
      </c>
      <c r="F165" s="17">
        <v>0.32915463809221801</v>
      </c>
      <c r="G165" s="12">
        <v>1</v>
      </c>
      <c r="H165" s="10">
        <f>IF(G165=1,C165/SUMPRODUCT(C155:C165,G155:G165),0)</f>
        <v>8.4745762711864403E-2</v>
      </c>
      <c r="I165" s="17">
        <v>0.26653176874592449</v>
      </c>
      <c r="J165" s="15"/>
    </row>
    <row r="166" spans="1:10" x14ac:dyDescent="0.45">
      <c r="A166" s="8" t="s">
        <v>445</v>
      </c>
      <c r="B166" s="8" t="s">
        <v>385</v>
      </c>
      <c r="C166" s="12">
        <v>80</v>
      </c>
      <c r="D166" s="12">
        <v>1</v>
      </c>
      <c r="E166" s="10">
        <f>IF(D166=1,C166/SUMPRODUCT(C166:C176,D166:D176),0)</f>
        <v>0.16326530612244897</v>
      </c>
      <c r="F166" s="17">
        <v>0.48250002547882193</v>
      </c>
      <c r="G166" s="12">
        <v>1</v>
      </c>
      <c r="H166" s="10">
        <f>IF(G166=1,C166/SUMPRODUCT(C166:C176,G166:G176),0)</f>
        <v>0.13559322033898305</v>
      </c>
      <c r="I166" s="17">
        <v>0.39854835421202139</v>
      </c>
      <c r="J166" s="15"/>
    </row>
    <row r="167" spans="1:10" x14ac:dyDescent="0.45">
      <c r="A167" s="8" t="s">
        <v>445</v>
      </c>
      <c r="B167" s="8" t="s">
        <v>389</v>
      </c>
      <c r="C167" s="12">
        <v>50</v>
      </c>
      <c r="D167" s="12">
        <v>1</v>
      </c>
      <c r="E167" s="10">
        <f>IF(D167=1,C167/SUMPRODUCT(C166:C176,D166:D176),0)</f>
        <v>0.10204081632653061</v>
      </c>
      <c r="F167" s="17">
        <v>0.3291546380922179</v>
      </c>
      <c r="G167" s="12">
        <v>1</v>
      </c>
      <c r="H167" s="10">
        <f>IF(G167=1,C167/SUMPRODUCT(C166:C176,G166:G176),0)</f>
        <v>8.4745762711864403E-2</v>
      </c>
      <c r="I167" s="17">
        <v>0.26653176874592438</v>
      </c>
      <c r="J167" s="15"/>
    </row>
    <row r="168" spans="1:10" x14ac:dyDescent="0.45">
      <c r="A168" s="8" t="s">
        <v>445</v>
      </c>
      <c r="B168" s="8" t="s">
        <v>393</v>
      </c>
      <c r="C168" s="12">
        <v>40</v>
      </c>
      <c r="D168" s="12">
        <v>0</v>
      </c>
      <c r="E168" s="10">
        <f>IF(D168=1,C168/SUMPRODUCT(C166:C176,D166:D176),0)</f>
        <v>0</v>
      </c>
      <c r="F168" s="17">
        <v>0</v>
      </c>
      <c r="G168" s="12">
        <v>1</v>
      </c>
      <c r="H168" s="10">
        <f>IF(G168=1,C168/SUMPRODUCT(C166:C176,G166:G176),0)</f>
        <v>6.7796610169491525E-2</v>
      </c>
      <c r="I168" s="17">
        <v>0.2176812116119124</v>
      </c>
      <c r="J168" s="15" t="s">
        <v>429</v>
      </c>
    </row>
    <row r="169" spans="1:10" x14ac:dyDescent="0.45">
      <c r="A169" s="8" t="s">
        <v>445</v>
      </c>
      <c r="B169" s="8" t="s">
        <v>396</v>
      </c>
      <c r="C169" s="12">
        <v>30</v>
      </c>
      <c r="D169" s="12">
        <v>0</v>
      </c>
      <c r="E169" s="10">
        <f>IF(D169=1,C169/SUMPRODUCT(C166:C176,D166:D176),0)</f>
        <v>0</v>
      </c>
      <c r="F169" s="17">
        <v>0</v>
      </c>
      <c r="G169" s="12">
        <v>0</v>
      </c>
      <c r="H169" s="10">
        <f>IF(G169=1,C169/SUMPRODUCT(C166:C176,G166:G176),0)</f>
        <v>0</v>
      </c>
      <c r="I169" s="17">
        <v>0</v>
      </c>
      <c r="J169" s="15" t="s">
        <v>430</v>
      </c>
    </row>
    <row r="170" spans="1:10" x14ac:dyDescent="0.45">
      <c r="A170" s="8" t="s">
        <v>445</v>
      </c>
      <c r="B170" s="8" t="s">
        <v>399</v>
      </c>
      <c r="C170" s="12">
        <v>80</v>
      </c>
      <c r="D170" s="12">
        <v>1</v>
      </c>
      <c r="E170" s="10">
        <f>IF(D170=1,C170/SUMPRODUCT(C166:C176,D166:D176),0)</f>
        <v>0.16326530612244897</v>
      </c>
      <c r="F170" s="17">
        <v>0.48250002547882198</v>
      </c>
      <c r="G170" s="12">
        <v>1</v>
      </c>
      <c r="H170" s="10">
        <f>IF(G170=1,C170/SUMPRODUCT(C166:C176,G166:G176),0)</f>
        <v>0.13559322033898305</v>
      </c>
      <c r="I170" s="17">
        <v>0.39854835421202151</v>
      </c>
      <c r="J170" s="15"/>
    </row>
    <row r="171" spans="1:10" x14ac:dyDescent="0.45">
      <c r="A171" s="8" t="s">
        <v>445</v>
      </c>
      <c r="B171" s="8" t="s">
        <v>401</v>
      </c>
      <c r="C171" s="12">
        <v>100</v>
      </c>
      <c r="D171" s="12">
        <v>0</v>
      </c>
      <c r="E171" s="10">
        <f>IF(D171=1,C171/SUMPRODUCT(C166:C176,D166:D176),0)</f>
        <v>0</v>
      </c>
      <c r="F171" s="17">
        <v>0</v>
      </c>
      <c r="G171" s="12">
        <v>0</v>
      </c>
      <c r="H171" s="10">
        <f>IF(G171=1,C171/SUMPRODUCT(C166:C176,G166:G176),0)</f>
        <v>0</v>
      </c>
      <c r="I171" s="17">
        <v>0</v>
      </c>
      <c r="J171" s="15" t="s">
        <v>431</v>
      </c>
    </row>
    <row r="172" spans="1:10" x14ac:dyDescent="0.45">
      <c r="A172" s="8" t="s">
        <v>445</v>
      </c>
      <c r="B172" s="8" t="s">
        <v>404</v>
      </c>
      <c r="C172" s="12">
        <v>50</v>
      </c>
      <c r="D172" s="12">
        <v>1</v>
      </c>
      <c r="E172" s="10">
        <f>IF(D172=1,C172/SUMPRODUCT(C166:C176,D166:D176),0)</f>
        <v>0.10204081632653061</v>
      </c>
      <c r="F172" s="17">
        <v>0.32915463809221779</v>
      </c>
      <c r="G172" s="12">
        <v>1</v>
      </c>
      <c r="H172" s="10">
        <f>IF(G172=1,C172/SUMPRODUCT(C166:C176,G166:G176),0)</f>
        <v>8.4745762711864403E-2</v>
      </c>
      <c r="I172" s="17">
        <v>0.26653176874592449</v>
      </c>
      <c r="J172" s="15"/>
    </row>
    <row r="173" spans="1:10" x14ac:dyDescent="0.45">
      <c r="A173" s="8" t="s">
        <v>445</v>
      </c>
      <c r="B173" s="8" t="s">
        <v>407</v>
      </c>
      <c r="C173" s="12">
        <v>60</v>
      </c>
      <c r="D173" s="12">
        <v>0</v>
      </c>
      <c r="E173" s="10">
        <f>IF(D173=1,C173/SUMPRODUCT(C166:C176,D166:D176),0)</f>
        <v>0</v>
      </c>
      <c r="F173" s="17">
        <v>0</v>
      </c>
      <c r="G173" s="12">
        <v>1</v>
      </c>
      <c r="H173" s="10">
        <f>IF(G173=1,C173/SUMPRODUCT(C166:C176,G166:G176),0)</f>
        <v>0.10169491525423729</v>
      </c>
      <c r="I173" s="17">
        <v>0.31299881890794062</v>
      </c>
      <c r="J173" s="15" t="s">
        <v>429</v>
      </c>
    </row>
    <row r="174" spans="1:10" x14ac:dyDescent="0.45">
      <c r="A174" s="8" t="s">
        <v>445</v>
      </c>
      <c r="B174" s="8" t="s">
        <v>410</v>
      </c>
      <c r="C174" s="12">
        <v>100</v>
      </c>
      <c r="D174" s="12">
        <v>1</v>
      </c>
      <c r="E174" s="10">
        <f>IF(D174=1,C174/SUMPRODUCT(C166:C176,D166:D176),0)</f>
        <v>0.20408163265306123</v>
      </c>
      <c r="F174" s="17">
        <v>0.56503600928688025</v>
      </c>
      <c r="G174" s="12">
        <v>1</v>
      </c>
      <c r="H174" s="10">
        <f>IF(G174=1,C174/SUMPRODUCT(C166:C176,G166:G176),0)</f>
        <v>0.16949152542372881</v>
      </c>
      <c r="I174" s="17">
        <v>0.47407960060630849</v>
      </c>
      <c r="J174" s="15"/>
    </row>
    <row r="175" spans="1:10" x14ac:dyDescent="0.45">
      <c r="A175" s="8" t="s">
        <v>445</v>
      </c>
      <c r="B175" s="8" t="s">
        <v>412</v>
      </c>
      <c r="C175" s="12">
        <v>80</v>
      </c>
      <c r="D175" s="12">
        <v>1</v>
      </c>
      <c r="E175" s="10">
        <f>IF(D175=1,C175/SUMPRODUCT(C166:C176,D166:D176),0)</f>
        <v>0.16326530612244897</v>
      </c>
      <c r="F175" s="17">
        <v>0.48250002547882181</v>
      </c>
      <c r="G175" s="12">
        <v>1</v>
      </c>
      <c r="H175" s="10">
        <f>IF(G175=1,C175/SUMPRODUCT(C166:C176,G166:G176),0)</f>
        <v>0.13559322033898305</v>
      </c>
      <c r="I175" s="17">
        <v>0.39854835421202162</v>
      </c>
      <c r="J175" s="15"/>
    </row>
    <row r="176" spans="1:10" x14ac:dyDescent="0.45">
      <c r="A176" s="8" t="s">
        <v>445</v>
      </c>
      <c r="B176" s="8" t="s">
        <v>414</v>
      </c>
      <c r="C176" s="12">
        <v>50</v>
      </c>
      <c r="D176" s="12">
        <v>1</v>
      </c>
      <c r="E176" s="10">
        <f>IF(D176=1,C176/SUMPRODUCT(C166:C176,D166:D176),0)</f>
        <v>0.10204081632653061</v>
      </c>
      <c r="F176" s="17">
        <v>0.32915463809221801</v>
      </c>
      <c r="G176" s="12">
        <v>1</v>
      </c>
      <c r="H176" s="10">
        <f>IF(G176=1,C176/SUMPRODUCT(C166:C176,G166:G176),0)</f>
        <v>8.4745762711864403E-2</v>
      </c>
      <c r="I176" s="17">
        <v>0.26653176874592449</v>
      </c>
      <c r="J176" s="15"/>
    </row>
    <row r="177" spans="1:10" x14ac:dyDescent="0.45">
      <c r="A177" s="8" t="s">
        <v>446</v>
      </c>
      <c r="B177" s="8" t="s">
        <v>385</v>
      </c>
      <c r="C177" s="12">
        <v>80</v>
      </c>
      <c r="D177" s="12">
        <v>1</v>
      </c>
      <c r="E177" s="10">
        <f>IF(D177=1,C177/SUMPRODUCT(C177:C187,D177:D187),0)</f>
        <v>0.16326530612244897</v>
      </c>
      <c r="F177" s="17">
        <v>0.48250002547882193</v>
      </c>
      <c r="G177" s="12">
        <v>1</v>
      </c>
      <c r="H177" s="10">
        <f>IF(G177=1,C177/SUMPRODUCT(C177:C187,G177:G187),0)</f>
        <v>0.13559322033898305</v>
      </c>
      <c r="I177" s="17">
        <v>0.39854835421202139</v>
      </c>
      <c r="J177" s="15"/>
    </row>
    <row r="178" spans="1:10" x14ac:dyDescent="0.45">
      <c r="A178" s="8" t="s">
        <v>446</v>
      </c>
      <c r="B178" s="8" t="s">
        <v>389</v>
      </c>
      <c r="C178" s="12">
        <v>50</v>
      </c>
      <c r="D178" s="12">
        <v>1</v>
      </c>
      <c r="E178" s="10">
        <f>IF(D178=1,C178/SUMPRODUCT(C177:C187,D177:D187),0)</f>
        <v>0.10204081632653061</v>
      </c>
      <c r="F178" s="17">
        <v>0.3291546380922179</v>
      </c>
      <c r="G178" s="12">
        <v>1</v>
      </c>
      <c r="H178" s="10">
        <f>IF(G178=1,C178/SUMPRODUCT(C177:C187,G177:G187),0)</f>
        <v>8.4745762711864403E-2</v>
      </c>
      <c r="I178" s="17">
        <v>0.26653176874592438</v>
      </c>
      <c r="J178" s="15"/>
    </row>
    <row r="179" spans="1:10" x14ac:dyDescent="0.45">
      <c r="A179" s="8" t="s">
        <v>446</v>
      </c>
      <c r="B179" s="8" t="s">
        <v>393</v>
      </c>
      <c r="C179" s="12">
        <v>40</v>
      </c>
      <c r="D179" s="12">
        <v>0</v>
      </c>
      <c r="E179" s="10">
        <f>IF(D179=1,C179/SUMPRODUCT(C177:C187,D177:D187),0)</f>
        <v>0</v>
      </c>
      <c r="F179" s="17">
        <v>0</v>
      </c>
      <c r="G179" s="12">
        <v>1</v>
      </c>
      <c r="H179" s="10">
        <f>IF(G179=1,C179/SUMPRODUCT(C177:C187,G177:G187),0)</f>
        <v>6.7796610169491525E-2</v>
      </c>
      <c r="I179" s="17">
        <v>0.2176812116119124</v>
      </c>
      <c r="J179" s="15" t="s">
        <v>429</v>
      </c>
    </row>
    <row r="180" spans="1:10" x14ac:dyDescent="0.45">
      <c r="A180" s="8" t="s">
        <v>446</v>
      </c>
      <c r="B180" s="8" t="s">
        <v>396</v>
      </c>
      <c r="C180" s="12">
        <v>30</v>
      </c>
      <c r="D180" s="12">
        <v>0</v>
      </c>
      <c r="E180" s="10">
        <f>IF(D180=1,C180/SUMPRODUCT(C177:C187,D177:D187),0)</f>
        <v>0</v>
      </c>
      <c r="F180" s="17">
        <v>0</v>
      </c>
      <c r="G180" s="12">
        <v>0</v>
      </c>
      <c r="H180" s="10">
        <f>IF(G180=1,C180/SUMPRODUCT(C177:C187,G177:G187),0)</f>
        <v>0</v>
      </c>
      <c r="I180" s="17">
        <v>0</v>
      </c>
      <c r="J180" s="15" t="s">
        <v>430</v>
      </c>
    </row>
    <row r="181" spans="1:10" x14ac:dyDescent="0.45">
      <c r="A181" s="8" t="s">
        <v>446</v>
      </c>
      <c r="B181" s="8" t="s">
        <v>399</v>
      </c>
      <c r="C181" s="12">
        <v>80</v>
      </c>
      <c r="D181" s="12">
        <v>1</v>
      </c>
      <c r="E181" s="10">
        <f>IF(D181=1,C181/SUMPRODUCT(C177:C187,D177:D187),0)</f>
        <v>0.16326530612244897</v>
      </c>
      <c r="F181" s="17">
        <v>0.48250002547882198</v>
      </c>
      <c r="G181" s="12">
        <v>1</v>
      </c>
      <c r="H181" s="10">
        <f>IF(G181=1,C181/SUMPRODUCT(C177:C187,G177:G187),0)</f>
        <v>0.13559322033898305</v>
      </c>
      <c r="I181" s="17">
        <v>0.39854835421202151</v>
      </c>
      <c r="J181" s="15"/>
    </row>
    <row r="182" spans="1:10" x14ac:dyDescent="0.45">
      <c r="A182" s="8" t="s">
        <v>446</v>
      </c>
      <c r="B182" s="8" t="s">
        <v>401</v>
      </c>
      <c r="C182" s="12">
        <v>100</v>
      </c>
      <c r="D182" s="12">
        <v>0</v>
      </c>
      <c r="E182" s="10">
        <f>IF(D182=1,C182/SUMPRODUCT(C177:C187,D177:D187),0)</f>
        <v>0</v>
      </c>
      <c r="F182" s="17">
        <v>0</v>
      </c>
      <c r="G182" s="12">
        <v>0</v>
      </c>
      <c r="H182" s="10">
        <f>IF(G182=1,C182/SUMPRODUCT(C177:C187,G177:G187),0)</f>
        <v>0</v>
      </c>
      <c r="I182" s="17">
        <v>0</v>
      </c>
      <c r="J182" s="15" t="s">
        <v>431</v>
      </c>
    </row>
    <row r="183" spans="1:10" x14ac:dyDescent="0.45">
      <c r="A183" s="8" t="s">
        <v>446</v>
      </c>
      <c r="B183" s="8" t="s">
        <v>404</v>
      </c>
      <c r="C183" s="12">
        <v>50</v>
      </c>
      <c r="D183" s="12">
        <v>1</v>
      </c>
      <c r="E183" s="10">
        <f>IF(D183=1,C183/SUMPRODUCT(C177:C187,D177:D187),0)</f>
        <v>0.10204081632653061</v>
      </c>
      <c r="F183" s="17">
        <v>0.32915463809221779</v>
      </c>
      <c r="G183" s="12">
        <v>1</v>
      </c>
      <c r="H183" s="10">
        <f>IF(G183=1,C183/SUMPRODUCT(C177:C187,G177:G187),0)</f>
        <v>8.4745762711864403E-2</v>
      </c>
      <c r="I183" s="17">
        <v>0.26653176874592449</v>
      </c>
      <c r="J183" s="15"/>
    </row>
    <row r="184" spans="1:10" x14ac:dyDescent="0.45">
      <c r="A184" s="8" t="s">
        <v>446</v>
      </c>
      <c r="B184" s="8" t="s">
        <v>407</v>
      </c>
      <c r="C184" s="12">
        <v>60</v>
      </c>
      <c r="D184" s="12">
        <v>0</v>
      </c>
      <c r="E184" s="10">
        <f>IF(D184=1,C184/SUMPRODUCT(C177:C187,D177:D187),0)</f>
        <v>0</v>
      </c>
      <c r="F184" s="17">
        <v>0</v>
      </c>
      <c r="G184" s="12">
        <v>1</v>
      </c>
      <c r="H184" s="10">
        <f>IF(G184=1,C184/SUMPRODUCT(C177:C187,G177:G187),0)</f>
        <v>0.10169491525423729</v>
      </c>
      <c r="I184" s="17">
        <v>0.31299881890794062</v>
      </c>
      <c r="J184" s="15" t="s">
        <v>429</v>
      </c>
    </row>
    <row r="185" spans="1:10" x14ac:dyDescent="0.45">
      <c r="A185" s="8" t="s">
        <v>446</v>
      </c>
      <c r="B185" s="8" t="s">
        <v>410</v>
      </c>
      <c r="C185" s="12">
        <v>100</v>
      </c>
      <c r="D185" s="12">
        <v>1</v>
      </c>
      <c r="E185" s="10">
        <f>IF(D185=1,C185/SUMPRODUCT(C177:C187,D177:D187),0)</f>
        <v>0.20408163265306123</v>
      </c>
      <c r="F185" s="17">
        <v>0.56503600928688025</v>
      </c>
      <c r="G185" s="12">
        <v>1</v>
      </c>
      <c r="H185" s="10">
        <f>IF(G185=1,C185/SUMPRODUCT(C177:C187,G177:G187),0)</f>
        <v>0.16949152542372881</v>
      </c>
      <c r="I185" s="17">
        <v>0.47407960060630849</v>
      </c>
      <c r="J185" s="15"/>
    </row>
    <row r="186" spans="1:10" x14ac:dyDescent="0.45">
      <c r="A186" s="8" t="s">
        <v>446</v>
      </c>
      <c r="B186" s="8" t="s">
        <v>412</v>
      </c>
      <c r="C186" s="12">
        <v>80</v>
      </c>
      <c r="D186" s="12">
        <v>1</v>
      </c>
      <c r="E186" s="10">
        <f>IF(D186=1,C186/SUMPRODUCT(C177:C187,D177:D187),0)</f>
        <v>0.16326530612244897</v>
      </c>
      <c r="F186" s="17">
        <v>0.48250002547882181</v>
      </c>
      <c r="G186" s="12">
        <v>1</v>
      </c>
      <c r="H186" s="10">
        <f>IF(G186=1,C186/SUMPRODUCT(C177:C187,G177:G187),0)</f>
        <v>0.13559322033898305</v>
      </c>
      <c r="I186" s="17">
        <v>0.39854835421202162</v>
      </c>
      <c r="J186" s="15"/>
    </row>
    <row r="187" spans="1:10" x14ac:dyDescent="0.45">
      <c r="A187" s="8" t="s">
        <v>446</v>
      </c>
      <c r="B187" s="8" t="s">
        <v>414</v>
      </c>
      <c r="C187" s="12">
        <v>50</v>
      </c>
      <c r="D187" s="12">
        <v>1</v>
      </c>
      <c r="E187" s="10">
        <f>IF(D187=1,C187/SUMPRODUCT(C177:C187,D177:D187),0)</f>
        <v>0.10204081632653061</v>
      </c>
      <c r="F187" s="17">
        <v>0.32915463809221801</v>
      </c>
      <c r="G187" s="12">
        <v>1</v>
      </c>
      <c r="H187" s="10">
        <f>IF(G187=1,C187/SUMPRODUCT(C177:C187,G177:G187),0)</f>
        <v>8.4745762711864403E-2</v>
      </c>
      <c r="I187" s="17">
        <v>0.26653176874592449</v>
      </c>
      <c r="J187" s="15"/>
    </row>
    <row r="188" spans="1:10" x14ac:dyDescent="0.45">
      <c r="A188" s="8" t="s">
        <v>447</v>
      </c>
      <c r="B188" s="8" t="s">
        <v>385</v>
      </c>
      <c r="C188" s="12">
        <v>80</v>
      </c>
      <c r="D188" s="12">
        <v>1</v>
      </c>
      <c r="E188" s="10">
        <f>IF(D188=1,C188/SUMPRODUCT(C188:C198,D188:D198),0)</f>
        <v>0.16326530612244897</v>
      </c>
      <c r="F188" s="17">
        <v>0.48250002547882193</v>
      </c>
      <c r="G188" s="12">
        <v>1</v>
      </c>
      <c r="H188" s="10">
        <f>IF(G188=1,C188/SUMPRODUCT(C188:C198,G188:G198),0)</f>
        <v>0.13559322033898305</v>
      </c>
      <c r="I188" s="17">
        <v>0.39854835421202139</v>
      </c>
      <c r="J188" s="15"/>
    </row>
    <row r="189" spans="1:10" x14ac:dyDescent="0.45">
      <c r="A189" s="8" t="s">
        <v>447</v>
      </c>
      <c r="B189" s="8" t="s">
        <v>389</v>
      </c>
      <c r="C189" s="12">
        <v>50</v>
      </c>
      <c r="D189" s="12">
        <v>1</v>
      </c>
      <c r="E189" s="10">
        <f>IF(D189=1,C189/SUMPRODUCT(C188:C198,D188:D198),0)</f>
        <v>0.10204081632653061</v>
      </c>
      <c r="F189" s="17">
        <v>0.3291546380922179</v>
      </c>
      <c r="G189" s="12">
        <v>1</v>
      </c>
      <c r="H189" s="10">
        <f>IF(G189=1,C189/SUMPRODUCT(C188:C198,G188:G198),0)</f>
        <v>8.4745762711864403E-2</v>
      </c>
      <c r="I189" s="17">
        <v>0.26653176874592438</v>
      </c>
      <c r="J189" s="15"/>
    </row>
    <row r="190" spans="1:10" x14ac:dyDescent="0.45">
      <c r="A190" s="8" t="s">
        <v>447</v>
      </c>
      <c r="B190" s="8" t="s">
        <v>393</v>
      </c>
      <c r="C190" s="12">
        <v>40</v>
      </c>
      <c r="D190" s="12">
        <v>0</v>
      </c>
      <c r="E190" s="10">
        <f>IF(D190=1,C190/SUMPRODUCT(C188:C198,D188:D198),0)</f>
        <v>0</v>
      </c>
      <c r="F190" s="17">
        <v>0</v>
      </c>
      <c r="G190" s="12">
        <v>1</v>
      </c>
      <c r="H190" s="10">
        <f>IF(G190=1,C190/SUMPRODUCT(C188:C198,G188:G198),0)</f>
        <v>6.7796610169491525E-2</v>
      </c>
      <c r="I190" s="17">
        <v>0.2176812116119124</v>
      </c>
      <c r="J190" s="15" t="s">
        <v>429</v>
      </c>
    </row>
    <row r="191" spans="1:10" x14ac:dyDescent="0.45">
      <c r="A191" s="8" t="s">
        <v>447</v>
      </c>
      <c r="B191" s="8" t="s">
        <v>396</v>
      </c>
      <c r="C191" s="12">
        <v>30</v>
      </c>
      <c r="D191" s="12">
        <v>0</v>
      </c>
      <c r="E191" s="10">
        <f>IF(D191=1,C191/SUMPRODUCT(C188:C198,D188:D198),0)</f>
        <v>0</v>
      </c>
      <c r="F191" s="17">
        <v>0</v>
      </c>
      <c r="G191" s="12">
        <v>0</v>
      </c>
      <c r="H191" s="10">
        <f>IF(G191=1,C191/SUMPRODUCT(C188:C198,G188:G198),0)</f>
        <v>0</v>
      </c>
      <c r="I191" s="17">
        <v>0</v>
      </c>
      <c r="J191" s="15" t="s">
        <v>430</v>
      </c>
    </row>
    <row r="192" spans="1:10" x14ac:dyDescent="0.45">
      <c r="A192" s="8" t="s">
        <v>447</v>
      </c>
      <c r="B192" s="8" t="s">
        <v>399</v>
      </c>
      <c r="C192" s="12">
        <v>80</v>
      </c>
      <c r="D192" s="12">
        <v>1</v>
      </c>
      <c r="E192" s="10">
        <f>IF(D192=1,C192/SUMPRODUCT(C188:C198,D188:D198),0)</f>
        <v>0.16326530612244897</v>
      </c>
      <c r="F192" s="17">
        <v>0.48250002547882198</v>
      </c>
      <c r="G192" s="12">
        <v>1</v>
      </c>
      <c r="H192" s="10">
        <f>IF(G192=1,C192/SUMPRODUCT(C188:C198,G188:G198),0)</f>
        <v>0.13559322033898305</v>
      </c>
      <c r="I192" s="17">
        <v>0.39854835421202151</v>
      </c>
      <c r="J192" s="15"/>
    </row>
    <row r="193" spans="1:10" x14ac:dyDescent="0.45">
      <c r="A193" s="8" t="s">
        <v>447</v>
      </c>
      <c r="B193" s="8" t="s">
        <v>401</v>
      </c>
      <c r="C193" s="12">
        <v>100</v>
      </c>
      <c r="D193" s="12">
        <v>0</v>
      </c>
      <c r="E193" s="10">
        <f>IF(D193=1,C193/SUMPRODUCT(C188:C198,D188:D198),0)</f>
        <v>0</v>
      </c>
      <c r="F193" s="17">
        <v>0</v>
      </c>
      <c r="G193" s="12">
        <v>0</v>
      </c>
      <c r="H193" s="10">
        <f>IF(G193=1,C193/SUMPRODUCT(C188:C198,G188:G198),0)</f>
        <v>0</v>
      </c>
      <c r="I193" s="17">
        <v>0</v>
      </c>
      <c r="J193" s="15" t="s">
        <v>431</v>
      </c>
    </row>
    <row r="194" spans="1:10" x14ac:dyDescent="0.45">
      <c r="A194" s="8" t="s">
        <v>447</v>
      </c>
      <c r="B194" s="8" t="s">
        <v>404</v>
      </c>
      <c r="C194" s="12">
        <v>50</v>
      </c>
      <c r="D194" s="12">
        <v>1</v>
      </c>
      <c r="E194" s="10">
        <f>IF(D194=1,C194/SUMPRODUCT(C188:C198,D188:D198),0)</f>
        <v>0.10204081632653061</v>
      </c>
      <c r="F194" s="17">
        <v>0.32915463809221779</v>
      </c>
      <c r="G194" s="12">
        <v>1</v>
      </c>
      <c r="H194" s="10">
        <f>IF(G194=1,C194/SUMPRODUCT(C188:C198,G188:G198),0)</f>
        <v>8.4745762711864403E-2</v>
      </c>
      <c r="I194" s="17">
        <v>0.26653176874592449</v>
      </c>
      <c r="J194" s="15"/>
    </row>
    <row r="195" spans="1:10" x14ac:dyDescent="0.45">
      <c r="A195" s="8" t="s">
        <v>447</v>
      </c>
      <c r="B195" s="8" t="s">
        <v>407</v>
      </c>
      <c r="C195" s="12">
        <v>60</v>
      </c>
      <c r="D195" s="12">
        <v>0</v>
      </c>
      <c r="E195" s="10">
        <f>IF(D195=1,C195/SUMPRODUCT(C188:C198,D188:D198),0)</f>
        <v>0</v>
      </c>
      <c r="F195" s="17">
        <v>0</v>
      </c>
      <c r="G195" s="12">
        <v>1</v>
      </c>
      <c r="H195" s="10">
        <f>IF(G195=1,C195/SUMPRODUCT(C188:C198,G188:G198),0)</f>
        <v>0.10169491525423729</v>
      </c>
      <c r="I195" s="17">
        <v>0.31299881890794062</v>
      </c>
      <c r="J195" s="15" t="s">
        <v>429</v>
      </c>
    </row>
    <row r="196" spans="1:10" x14ac:dyDescent="0.45">
      <c r="A196" s="8" t="s">
        <v>447</v>
      </c>
      <c r="B196" s="8" t="s">
        <v>410</v>
      </c>
      <c r="C196" s="12">
        <v>100</v>
      </c>
      <c r="D196" s="12">
        <v>1</v>
      </c>
      <c r="E196" s="10">
        <f>IF(D196=1,C196/SUMPRODUCT(C188:C198,D188:D198),0)</f>
        <v>0.20408163265306123</v>
      </c>
      <c r="F196" s="17">
        <v>0.56503600928688025</v>
      </c>
      <c r="G196" s="12">
        <v>1</v>
      </c>
      <c r="H196" s="10">
        <f>IF(G196=1,C196/SUMPRODUCT(C188:C198,G188:G198),0)</f>
        <v>0.16949152542372881</v>
      </c>
      <c r="I196" s="17">
        <v>0.47407960060630849</v>
      </c>
      <c r="J196" s="15"/>
    </row>
    <row r="197" spans="1:10" x14ac:dyDescent="0.45">
      <c r="A197" s="8" t="s">
        <v>447</v>
      </c>
      <c r="B197" s="8" t="s">
        <v>412</v>
      </c>
      <c r="C197" s="12">
        <v>80</v>
      </c>
      <c r="D197" s="12">
        <v>1</v>
      </c>
      <c r="E197" s="10">
        <f>IF(D197=1,C197/SUMPRODUCT(C188:C198,D188:D198),0)</f>
        <v>0.16326530612244897</v>
      </c>
      <c r="F197" s="17">
        <v>0.48250002547882181</v>
      </c>
      <c r="G197" s="12">
        <v>1</v>
      </c>
      <c r="H197" s="10">
        <f>IF(G197=1,C197/SUMPRODUCT(C188:C198,G188:G198),0)</f>
        <v>0.13559322033898305</v>
      </c>
      <c r="I197" s="17">
        <v>0.39854835421202162</v>
      </c>
      <c r="J197" s="15"/>
    </row>
    <row r="198" spans="1:10" x14ac:dyDescent="0.45">
      <c r="A198" s="8" t="s">
        <v>447</v>
      </c>
      <c r="B198" s="8" t="s">
        <v>414</v>
      </c>
      <c r="C198" s="12">
        <v>50</v>
      </c>
      <c r="D198" s="12">
        <v>1</v>
      </c>
      <c r="E198" s="10">
        <f>IF(D198=1,C198/SUMPRODUCT(C188:C198,D188:D198),0)</f>
        <v>0.10204081632653061</v>
      </c>
      <c r="F198" s="17">
        <v>0.32915463809221801</v>
      </c>
      <c r="G198" s="12">
        <v>1</v>
      </c>
      <c r="H198" s="10">
        <f>IF(G198=1,C198/SUMPRODUCT(C188:C198,G188:G198),0)</f>
        <v>8.4745762711864403E-2</v>
      </c>
      <c r="I198" s="17">
        <v>0.26653176874592449</v>
      </c>
      <c r="J198" s="15"/>
    </row>
    <row r="199" spans="1:10" x14ac:dyDescent="0.45">
      <c r="A199" s="8" t="s">
        <v>448</v>
      </c>
      <c r="B199" s="8" t="s">
        <v>385</v>
      </c>
      <c r="C199" s="12">
        <v>80</v>
      </c>
      <c r="D199" s="12">
        <v>1</v>
      </c>
      <c r="E199" s="10">
        <f>IF(D199=1,C199/SUMPRODUCT(C199:C209,D199:D209),0)</f>
        <v>0.13559322033898305</v>
      </c>
      <c r="F199" s="17">
        <v>0.40624136243780529</v>
      </c>
      <c r="G199" s="12">
        <v>1</v>
      </c>
      <c r="H199" s="10">
        <f>IF(G199=1,C199/SUMPRODUCT(C199:C209,G199:G209),0)</f>
        <v>0.11594202898550725</v>
      </c>
      <c r="I199" s="17">
        <v>0.34484294488454981</v>
      </c>
      <c r="J199" s="15"/>
    </row>
    <row r="200" spans="1:10" x14ac:dyDescent="0.45">
      <c r="A200" s="8" t="s">
        <v>448</v>
      </c>
      <c r="B200" s="8" t="s">
        <v>389</v>
      </c>
      <c r="C200" s="12">
        <v>50</v>
      </c>
      <c r="D200" s="12">
        <v>1</v>
      </c>
      <c r="E200" s="10">
        <f>IF(D200=1,C200/SUMPRODUCT(C199:C209,D199:D209),0)</f>
        <v>8.4745762711864403E-2</v>
      </c>
      <c r="F200" s="17">
        <v>0.2717739546887043</v>
      </c>
      <c r="G200" s="12">
        <v>1</v>
      </c>
      <c r="H200" s="10">
        <f>IF(G200=1,C200/SUMPRODUCT(C199:C209,G199:G209),0)</f>
        <v>7.2463768115942032E-2</v>
      </c>
      <c r="I200" s="17">
        <v>0.22780047406586629</v>
      </c>
      <c r="J200" s="15"/>
    </row>
    <row r="201" spans="1:10" x14ac:dyDescent="0.45">
      <c r="A201" s="8" t="s">
        <v>448</v>
      </c>
      <c r="B201" s="8" t="s">
        <v>393</v>
      </c>
      <c r="C201" s="12">
        <v>40</v>
      </c>
      <c r="D201" s="12">
        <v>0</v>
      </c>
      <c r="E201" s="10">
        <f>IF(D201=1,C201/SUMPRODUCT(C199:C209,D199:D209),0)</f>
        <v>0</v>
      </c>
      <c r="F201" s="17">
        <v>0</v>
      </c>
      <c r="G201" s="12">
        <v>1</v>
      </c>
      <c r="H201" s="10">
        <f>IF(G201=1,C201/SUMPRODUCT(C199:C209,G199:G209),0)</f>
        <v>5.7971014492753624E-2</v>
      </c>
      <c r="I201" s="17">
        <v>0.18539140528930459</v>
      </c>
      <c r="J201" s="15" t="s">
        <v>429</v>
      </c>
    </row>
    <row r="202" spans="1:10" x14ac:dyDescent="0.45">
      <c r="A202" s="8" t="s">
        <v>448</v>
      </c>
      <c r="B202" s="8" t="s">
        <v>396</v>
      </c>
      <c r="C202" s="12">
        <v>30</v>
      </c>
      <c r="D202" s="12">
        <v>0</v>
      </c>
      <c r="E202" s="10">
        <f>IF(D202=1,C202/SUMPRODUCT(C199:C209,D199:D209),0)</f>
        <v>0</v>
      </c>
      <c r="F202" s="17">
        <v>0</v>
      </c>
      <c r="G202" s="12">
        <v>0</v>
      </c>
      <c r="H202" s="10">
        <f>IF(G202=1,C202/SUMPRODUCT(C199:C209,G199:G209),0)</f>
        <v>0</v>
      </c>
      <c r="I202" s="17">
        <v>0</v>
      </c>
      <c r="J202" s="15" t="s">
        <v>430</v>
      </c>
    </row>
    <row r="203" spans="1:10" x14ac:dyDescent="0.45">
      <c r="A203" s="8" t="s">
        <v>448</v>
      </c>
      <c r="B203" s="8" t="s">
        <v>399</v>
      </c>
      <c r="C203" s="12">
        <v>80</v>
      </c>
      <c r="D203" s="12">
        <v>1</v>
      </c>
      <c r="E203" s="10">
        <f>IF(D203=1,C203/SUMPRODUCT(C199:C209,D199:D209),0)</f>
        <v>0.13559322033898305</v>
      </c>
      <c r="F203" s="17">
        <v>0.40624136243780551</v>
      </c>
      <c r="G203" s="12">
        <v>1</v>
      </c>
      <c r="H203" s="10">
        <f>IF(G203=1,C203/SUMPRODUCT(C199:C209,G199:G209),0)</f>
        <v>0.11594202898550725</v>
      </c>
      <c r="I203" s="17">
        <v>0.34484294488454981</v>
      </c>
      <c r="J203" s="15"/>
    </row>
    <row r="204" spans="1:10" x14ac:dyDescent="0.45">
      <c r="A204" s="8" t="s">
        <v>448</v>
      </c>
      <c r="B204" s="8" t="s">
        <v>401</v>
      </c>
      <c r="C204" s="12">
        <v>100</v>
      </c>
      <c r="D204" s="12">
        <v>1</v>
      </c>
      <c r="E204" s="10">
        <f>IF(D204=1,C204/SUMPRODUCT(C199:C209,D199:D209),0)</f>
        <v>0.16949152542372881</v>
      </c>
      <c r="F204" s="17">
        <v>0.48297702431023543</v>
      </c>
      <c r="G204" s="12">
        <v>1</v>
      </c>
      <c r="H204" s="10">
        <f>IF(G204=1,C204/SUMPRODUCT(C199:C209,G199:G209),0)</f>
        <v>0.14492753623188406</v>
      </c>
      <c r="I204" s="17">
        <v>0.4140698833725982</v>
      </c>
      <c r="J204" s="15"/>
    </row>
    <row r="205" spans="1:10" x14ac:dyDescent="0.45">
      <c r="A205" s="8" t="s">
        <v>448</v>
      </c>
      <c r="B205" s="8" t="s">
        <v>404</v>
      </c>
      <c r="C205" s="12">
        <v>50</v>
      </c>
      <c r="D205" s="12">
        <v>1</v>
      </c>
      <c r="E205" s="10">
        <f>IF(D205=1,C205/SUMPRODUCT(C199:C209,D199:D209),0)</f>
        <v>8.4745762711864403E-2</v>
      </c>
      <c r="F205" s="17">
        <v>0.27177395468870441</v>
      </c>
      <c r="G205" s="12">
        <v>1</v>
      </c>
      <c r="H205" s="10">
        <f>IF(G205=1,C205/SUMPRODUCT(C199:C209,G199:G209),0)</f>
        <v>7.2463768115942032E-2</v>
      </c>
      <c r="I205" s="17">
        <v>0.2278004740658664</v>
      </c>
      <c r="J205" s="15"/>
    </row>
    <row r="206" spans="1:10" x14ac:dyDescent="0.45">
      <c r="A206" s="8" t="s">
        <v>448</v>
      </c>
      <c r="B206" s="8" t="s">
        <v>407</v>
      </c>
      <c r="C206" s="12">
        <v>60</v>
      </c>
      <c r="D206" s="12">
        <v>0</v>
      </c>
      <c r="E206" s="10">
        <f>IF(D206=1,C206/SUMPRODUCT(C199:C209,D199:D209),0)</f>
        <v>0</v>
      </c>
      <c r="F206" s="17">
        <v>0</v>
      </c>
      <c r="G206" s="12">
        <v>1</v>
      </c>
      <c r="H206" s="10">
        <f>IF(G206=1,C206/SUMPRODUCT(C199:C209,G199:G209),0)</f>
        <v>8.6956521739130432E-2</v>
      </c>
      <c r="I206" s="17">
        <v>0.26853857111424939</v>
      </c>
      <c r="J206" s="15" t="s">
        <v>429</v>
      </c>
    </row>
    <row r="207" spans="1:10" x14ac:dyDescent="0.45">
      <c r="A207" s="8" t="s">
        <v>448</v>
      </c>
      <c r="B207" s="8" t="s">
        <v>410</v>
      </c>
      <c r="C207" s="12">
        <v>100</v>
      </c>
      <c r="D207" s="12">
        <v>1</v>
      </c>
      <c r="E207" s="10">
        <f>IF(D207=1,C207/SUMPRODUCT(C199:C209,D199:D209),0)</f>
        <v>0.16949152542372881</v>
      </c>
      <c r="F207" s="17">
        <v>0.4829770243102352</v>
      </c>
      <c r="G207" s="12">
        <v>1</v>
      </c>
      <c r="H207" s="10">
        <f>IF(G207=1,C207/SUMPRODUCT(C199:C209,G199:G209),0)</f>
        <v>0.14492753623188406</v>
      </c>
      <c r="I207" s="17">
        <v>0.4140698833725982</v>
      </c>
      <c r="J207" s="15"/>
    </row>
    <row r="208" spans="1:10" x14ac:dyDescent="0.45">
      <c r="A208" s="8" t="s">
        <v>448</v>
      </c>
      <c r="B208" s="8" t="s">
        <v>412</v>
      </c>
      <c r="C208" s="12">
        <v>80</v>
      </c>
      <c r="D208" s="12">
        <v>1</v>
      </c>
      <c r="E208" s="10">
        <f>IF(D208=1,C208/SUMPRODUCT(C199:C209,D199:D209),0)</f>
        <v>0.13559322033898305</v>
      </c>
      <c r="F208" s="17">
        <v>0.40624136243780562</v>
      </c>
      <c r="G208" s="12">
        <v>1</v>
      </c>
      <c r="H208" s="10">
        <f>IF(G208=1,C208/SUMPRODUCT(C199:C209,G199:G209),0)</f>
        <v>0.11594202898550725</v>
      </c>
      <c r="I208" s="17">
        <v>0.34484294488454997</v>
      </c>
      <c r="J208" s="15"/>
    </row>
    <row r="209" spans="1:10" x14ac:dyDescent="0.45">
      <c r="A209" s="8" t="s">
        <v>448</v>
      </c>
      <c r="B209" s="8" t="s">
        <v>414</v>
      </c>
      <c r="C209" s="12">
        <v>50</v>
      </c>
      <c r="D209" s="12">
        <v>1</v>
      </c>
      <c r="E209" s="10">
        <f>IF(D209=1,C209/SUMPRODUCT(C199:C209,D199:D209),0)</f>
        <v>8.4745762711864403E-2</v>
      </c>
      <c r="F209" s="17">
        <v>0.27177395468870441</v>
      </c>
      <c r="G209" s="12">
        <v>1</v>
      </c>
      <c r="H209" s="10">
        <f>IF(G209=1,C209/SUMPRODUCT(C199:C209,G199:G209),0)</f>
        <v>7.2463768115942032E-2</v>
      </c>
      <c r="I209" s="17">
        <v>0.22780047406586659</v>
      </c>
      <c r="J209" s="15"/>
    </row>
    <row r="211" spans="1:10" x14ac:dyDescent="0.45">
      <c r="A211" s="2" t="s">
        <v>449</v>
      </c>
    </row>
    <row r="213" spans="1:10" x14ac:dyDescent="0.45">
      <c r="A213" s="3" t="s">
        <v>450</v>
      </c>
      <c r="B213" s="3"/>
      <c r="C213" s="3"/>
      <c r="D213" s="3"/>
      <c r="E213" s="3"/>
      <c r="F213" s="3"/>
      <c r="G213" s="3"/>
      <c r="H213" s="3"/>
      <c r="I213" s="3"/>
      <c r="J213" s="3"/>
    </row>
    <row r="214" spans="1:10" x14ac:dyDescent="0.45">
      <c r="A214" s="6" t="s">
        <v>451</v>
      </c>
      <c r="B214" s="6" t="s">
        <v>452</v>
      </c>
      <c r="C214" s="6" t="s">
        <v>51</v>
      </c>
    </row>
    <row r="215" spans="1:10" x14ac:dyDescent="0.45">
      <c r="A215" s="8" t="s">
        <v>453</v>
      </c>
      <c r="B215" s="8" t="s">
        <v>454</v>
      </c>
      <c r="C215" s="8" t="s">
        <v>455</v>
      </c>
    </row>
    <row r="216" spans="1:10" x14ac:dyDescent="0.45">
      <c r="A216" s="8" t="s">
        <v>456</v>
      </c>
      <c r="B216" s="8" t="s">
        <v>457</v>
      </c>
      <c r="C216" s="8" t="s">
        <v>458</v>
      </c>
    </row>
    <row r="217" spans="1:10" x14ac:dyDescent="0.45">
      <c r="A217" s="8" t="s">
        <v>459</v>
      </c>
      <c r="B217" s="8" t="s">
        <v>460</v>
      </c>
      <c r="C217" s="8" t="s">
        <v>455</v>
      </c>
    </row>
    <row r="218" spans="1:10" x14ac:dyDescent="0.45">
      <c r="A218" s="8" t="s">
        <v>461</v>
      </c>
      <c r="B218" s="8" t="s">
        <v>462</v>
      </c>
      <c r="C218" s="8" t="s">
        <v>463</v>
      </c>
    </row>
    <row r="219" spans="1:10" x14ac:dyDescent="0.45">
      <c r="A219" s="8" t="s">
        <v>464</v>
      </c>
      <c r="B219" s="8" t="s">
        <v>465</v>
      </c>
      <c r="C219" s="8" t="s">
        <v>455</v>
      </c>
    </row>
    <row r="220" spans="1:10" x14ac:dyDescent="0.45">
      <c r="A220" s="8" t="s">
        <v>466</v>
      </c>
      <c r="B220" s="8" t="s">
        <v>467</v>
      </c>
      <c r="C220" s="8" t="s">
        <v>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0"/>
  <sheetViews>
    <sheetView showGridLines="0" workbookViewId="0"/>
  </sheetViews>
  <sheetFormatPr baseColWidth="10" defaultColWidth="9.06640625" defaultRowHeight="14.25" x14ac:dyDescent="0.45"/>
  <cols>
    <col min="1" max="1" width="34" customWidth="1"/>
    <col min="2" max="8" width="12" customWidth="1"/>
    <col min="9" max="9" width="40" customWidth="1"/>
  </cols>
  <sheetData>
    <row r="1" spans="1:9" ht="17.649999999999999" x14ac:dyDescent="0.5">
      <c r="A1" s="1" t="s">
        <v>468</v>
      </c>
    </row>
    <row r="2" spans="1:9" x14ac:dyDescent="0.45">
      <c r="A2" s="2" t="s">
        <v>469</v>
      </c>
    </row>
    <row r="4" spans="1:9" x14ac:dyDescent="0.45">
      <c r="A4" s="3" t="s">
        <v>470</v>
      </c>
      <c r="B4" s="3"/>
      <c r="C4" s="3"/>
      <c r="D4" s="3"/>
      <c r="E4" s="3"/>
      <c r="F4" s="3"/>
      <c r="G4" s="3"/>
      <c r="H4" s="3"/>
      <c r="I4" s="3"/>
    </row>
    <row r="5" spans="1:9" x14ac:dyDescent="0.45">
      <c r="A5" s="6" t="s">
        <v>471</v>
      </c>
      <c r="B5" s="6" t="s">
        <v>472</v>
      </c>
      <c r="C5" s="6" t="s">
        <v>473</v>
      </c>
      <c r="D5" s="6" t="s">
        <v>52</v>
      </c>
    </row>
    <row r="6" spans="1:9" x14ac:dyDescent="0.45">
      <c r="A6" s="8" t="s">
        <v>474</v>
      </c>
      <c r="B6" s="12">
        <v>10</v>
      </c>
      <c r="C6" s="8" t="s">
        <v>475</v>
      </c>
      <c r="D6" s="15" t="s">
        <v>476</v>
      </c>
    </row>
    <row r="7" spans="1:9" x14ac:dyDescent="0.45">
      <c r="A7" s="8" t="s">
        <v>477</v>
      </c>
      <c r="B7" s="12">
        <v>0</v>
      </c>
      <c r="C7" s="8" t="s">
        <v>475</v>
      </c>
      <c r="D7" s="15" t="s">
        <v>476</v>
      </c>
    </row>
    <row r="8" spans="1:9" x14ac:dyDescent="0.45">
      <c r="A8" s="8" t="s">
        <v>478</v>
      </c>
      <c r="B8" s="12">
        <v>0</v>
      </c>
      <c r="C8" s="8" t="s">
        <v>475</v>
      </c>
      <c r="D8" s="15" t="s">
        <v>476</v>
      </c>
    </row>
    <row r="9" spans="1:9" x14ac:dyDescent="0.45">
      <c r="A9" s="8" t="s">
        <v>479</v>
      </c>
      <c r="B9" s="12">
        <v>15</v>
      </c>
      <c r="C9" s="8" t="s">
        <v>480</v>
      </c>
      <c r="D9" s="15" t="s">
        <v>481</v>
      </c>
    </row>
    <row r="10" spans="1:9" x14ac:dyDescent="0.45">
      <c r="A10" s="8" t="s">
        <v>482</v>
      </c>
      <c r="B10" s="12">
        <v>10</v>
      </c>
      <c r="C10" s="8" t="s">
        <v>480</v>
      </c>
      <c r="D10" s="15" t="s">
        <v>481</v>
      </c>
    </row>
    <row r="11" spans="1:9" x14ac:dyDescent="0.45">
      <c r="A11" s="8" t="s">
        <v>483</v>
      </c>
      <c r="B11" s="12">
        <v>5</v>
      </c>
      <c r="C11" s="8" t="s">
        <v>480</v>
      </c>
      <c r="D11" s="15" t="s">
        <v>481</v>
      </c>
    </row>
    <row r="12" spans="1:9" x14ac:dyDescent="0.45">
      <c r="A12" s="8" t="s">
        <v>484</v>
      </c>
      <c r="B12" s="19" t="s">
        <v>485</v>
      </c>
      <c r="C12" s="8" t="s">
        <v>475</v>
      </c>
      <c r="D12" s="15" t="s">
        <v>486</v>
      </c>
    </row>
    <row r="13" spans="1:9" x14ac:dyDescent="0.45">
      <c r="A13" s="8" t="s">
        <v>487</v>
      </c>
      <c r="B13" s="12">
        <v>5</v>
      </c>
      <c r="C13" s="8" t="s">
        <v>488</v>
      </c>
      <c r="D13" s="15" t="s">
        <v>489</v>
      </c>
    </row>
    <row r="14" spans="1:9" x14ac:dyDescent="0.45">
      <c r="A14" s="8" t="s">
        <v>490</v>
      </c>
      <c r="B14" s="12">
        <v>10</v>
      </c>
      <c r="C14" s="8" t="s">
        <v>491</v>
      </c>
      <c r="D14" s="15" t="s">
        <v>492</v>
      </c>
    </row>
    <row r="15" spans="1:9" x14ac:dyDescent="0.45">
      <c r="A15" s="8" t="s">
        <v>493</v>
      </c>
      <c r="B15" s="12">
        <v>15</v>
      </c>
      <c r="C15" s="8" t="s">
        <v>491</v>
      </c>
      <c r="D15" s="15" t="s">
        <v>492</v>
      </c>
    </row>
    <row r="16" spans="1:9" x14ac:dyDescent="0.45">
      <c r="A16" s="8" t="s">
        <v>494</v>
      </c>
      <c r="B16" s="12">
        <v>5</v>
      </c>
      <c r="C16" s="8" t="s">
        <v>491</v>
      </c>
      <c r="D16" s="15" t="s">
        <v>492</v>
      </c>
    </row>
    <row r="17" spans="1:9" x14ac:dyDescent="0.45">
      <c r="A17" s="8" t="s">
        <v>495</v>
      </c>
      <c r="B17" s="12">
        <v>10</v>
      </c>
      <c r="C17" s="8" t="s">
        <v>491</v>
      </c>
      <c r="D17" s="15" t="s">
        <v>492</v>
      </c>
    </row>
    <row r="19" spans="1:9" x14ac:dyDescent="0.45">
      <c r="A19" s="3" t="s">
        <v>496</v>
      </c>
      <c r="B19" s="3"/>
      <c r="C19" s="3"/>
      <c r="D19" s="3"/>
      <c r="E19" s="3"/>
      <c r="F19" s="3"/>
      <c r="G19" s="3"/>
      <c r="H19" s="3"/>
      <c r="I19" s="3"/>
    </row>
    <row r="20" spans="1:9" x14ac:dyDescent="0.45">
      <c r="A20" s="5" t="s">
        <v>497</v>
      </c>
      <c r="B20" s="9">
        <v>1.5</v>
      </c>
      <c r="C20" s="2" t="s">
        <v>498</v>
      </c>
    </row>
    <row r="21" spans="1:9" x14ac:dyDescent="0.45">
      <c r="A21" s="6" t="s">
        <v>499</v>
      </c>
      <c r="B21" s="6" t="s">
        <v>500</v>
      </c>
      <c r="C21" s="6" t="s">
        <v>501</v>
      </c>
      <c r="D21" s="6" t="s">
        <v>502</v>
      </c>
      <c r="E21" s="6" t="s">
        <v>503</v>
      </c>
      <c r="F21" s="6" t="s">
        <v>504</v>
      </c>
      <c r="G21" s="6" t="s">
        <v>505</v>
      </c>
      <c r="H21" s="6" t="s">
        <v>506</v>
      </c>
      <c r="I21" s="6" t="s">
        <v>507</v>
      </c>
    </row>
    <row r="22" spans="1:9" x14ac:dyDescent="0.45">
      <c r="A22" s="2" t="s">
        <v>508</v>
      </c>
      <c r="B22" s="27">
        <v>1.5</v>
      </c>
      <c r="C22" s="27">
        <v>1.6</v>
      </c>
      <c r="D22" s="27">
        <v>1.8</v>
      </c>
      <c r="E22" s="27">
        <v>2</v>
      </c>
      <c r="F22" s="27">
        <v>2.5</v>
      </c>
      <c r="G22" s="27">
        <v>3</v>
      </c>
    </row>
    <row r="23" spans="1:9" x14ac:dyDescent="0.45">
      <c r="A23" s="12">
        <v>0</v>
      </c>
      <c r="B23" s="14">
        <f t="shared" ref="B23:B43" si="0">1+MIN(1,A23/100)*($B$22-1)</f>
        <v>1</v>
      </c>
      <c r="C23" s="14">
        <f t="shared" ref="C23:C43" si="1">1+MIN(1,A23/100)*($C$22-1)</f>
        <v>1</v>
      </c>
      <c r="D23" s="14">
        <f t="shared" ref="D23:D43" si="2">1+MIN(1,A23/100)*($D$22-1)</f>
        <v>1</v>
      </c>
      <c r="E23" s="14">
        <f t="shared" ref="E23:E43" si="3">1+MIN(1,A23/100)*($E$22-1)</f>
        <v>1</v>
      </c>
      <c r="F23" s="14">
        <f t="shared" ref="F23:F43" si="4">1+MIN(1,A23/100)*($F$22-1)</f>
        <v>1</v>
      </c>
      <c r="G23" s="14">
        <f t="shared" ref="G23:G43" si="5">1+MIN(1,A23/100)*($G$22-1)</f>
        <v>1</v>
      </c>
      <c r="H23" s="10">
        <f t="shared" ref="H23:H43" si="6">1-(1-MIN(1,A23/100))^3</f>
        <v>0</v>
      </c>
      <c r="I23" s="10">
        <f t="shared" ref="I23:I43" si="7">1-(1-MIN(1,A23/100))^5</f>
        <v>0</v>
      </c>
    </row>
    <row r="24" spans="1:9" x14ac:dyDescent="0.45">
      <c r="A24" s="12">
        <v>5</v>
      </c>
      <c r="B24" s="14">
        <f t="shared" si="0"/>
        <v>1.0249999999999999</v>
      </c>
      <c r="C24" s="14">
        <f t="shared" si="1"/>
        <v>1.03</v>
      </c>
      <c r="D24" s="14">
        <f t="shared" si="2"/>
        <v>1.04</v>
      </c>
      <c r="E24" s="14">
        <f t="shared" si="3"/>
        <v>1.05</v>
      </c>
      <c r="F24" s="14">
        <f t="shared" si="4"/>
        <v>1.075</v>
      </c>
      <c r="G24" s="14">
        <f t="shared" si="5"/>
        <v>1.1000000000000001</v>
      </c>
      <c r="H24" s="10">
        <f t="shared" si="6"/>
        <v>0.14262500000000011</v>
      </c>
      <c r="I24" s="10">
        <f t="shared" si="7"/>
        <v>0.22621906250000001</v>
      </c>
    </row>
    <row r="25" spans="1:9" x14ac:dyDescent="0.45">
      <c r="A25" s="12">
        <v>10</v>
      </c>
      <c r="B25" s="14">
        <f t="shared" si="0"/>
        <v>1.05</v>
      </c>
      <c r="C25" s="14">
        <f t="shared" si="1"/>
        <v>1.06</v>
      </c>
      <c r="D25" s="14">
        <f t="shared" si="2"/>
        <v>1.08</v>
      </c>
      <c r="E25" s="14">
        <f t="shared" si="3"/>
        <v>1.1000000000000001</v>
      </c>
      <c r="F25" s="14">
        <f t="shared" si="4"/>
        <v>1.1499999999999999</v>
      </c>
      <c r="G25" s="14">
        <f t="shared" si="5"/>
        <v>1.2</v>
      </c>
      <c r="H25" s="10">
        <f t="shared" si="6"/>
        <v>0.27099999999999991</v>
      </c>
      <c r="I25" s="10">
        <f t="shared" si="7"/>
        <v>0.40950999999999982</v>
      </c>
    </row>
    <row r="26" spans="1:9" x14ac:dyDescent="0.45">
      <c r="A26" s="12">
        <v>15</v>
      </c>
      <c r="B26" s="14">
        <f t="shared" si="0"/>
        <v>1.075</v>
      </c>
      <c r="C26" s="14">
        <f t="shared" si="1"/>
        <v>1.0900000000000001</v>
      </c>
      <c r="D26" s="14">
        <f t="shared" si="2"/>
        <v>1.1200000000000001</v>
      </c>
      <c r="E26" s="14">
        <f t="shared" si="3"/>
        <v>1.1499999999999999</v>
      </c>
      <c r="F26" s="14">
        <f t="shared" si="4"/>
        <v>1.2250000000000001</v>
      </c>
      <c r="G26" s="14">
        <f t="shared" si="5"/>
        <v>1.3</v>
      </c>
      <c r="H26" s="10">
        <f t="shared" si="6"/>
        <v>0.38587500000000008</v>
      </c>
      <c r="I26" s="10">
        <f t="shared" si="7"/>
        <v>0.55629468750000011</v>
      </c>
    </row>
    <row r="27" spans="1:9" x14ac:dyDescent="0.45">
      <c r="A27" s="12">
        <v>20</v>
      </c>
      <c r="B27" s="14">
        <f t="shared" si="0"/>
        <v>1.1000000000000001</v>
      </c>
      <c r="C27" s="14">
        <f t="shared" si="1"/>
        <v>1.1200000000000001</v>
      </c>
      <c r="D27" s="14">
        <f t="shared" si="2"/>
        <v>1.1600000000000001</v>
      </c>
      <c r="E27" s="14">
        <f t="shared" si="3"/>
        <v>1.2</v>
      </c>
      <c r="F27" s="14">
        <f t="shared" si="4"/>
        <v>1.3</v>
      </c>
      <c r="G27" s="14">
        <f t="shared" si="5"/>
        <v>1.4</v>
      </c>
      <c r="H27" s="10">
        <f t="shared" si="6"/>
        <v>0.48799999999999988</v>
      </c>
      <c r="I27" s="10">
        <f t="shared" si="7"/>
        <v>0.67231999999999981</v>
      </c>
    </row>
    <row r="28" spans="1:9" x14ac:dyDescent="0.45">
      <c r="A28" s="12">
        <v>25</v>
      </c>
      <c r="B28" s="14">
        <f t="shared" si="0"/>
        <v>1.125</v>
      </c>
      <c r="C28" s="14">
        <f t="shared" si="1"/>
        <v>1.1499999999999999</v>
      </c>
      <c r="D28" s="14">
        <f t="shared" si="2"/>
        <v>1.2</v>
      </c>
      <c r="E28" s="14">
        <f t="shared" si="3"/>
        <v>1.25</v>
      </c>
      <c r="F28" s="14">
        <f t="shared" si="4"/>
        <v>1.375</v>
      </c>
      <c r="G28" s="14">
        <f t="shared" si="5"/>
        <v>1.5</v>
      </c>
      <c r="H28" s="10">
        <f t="shared" si="6"/>
        <v>0.578125</v>
      </c>
      <c r="I28" s="10">
        <f t="shared" si="7"/>
        <v>0.7626953125</v>
      </c>
    </row>
    <row r="29" spans="1:9" x14ac:dyDescent="0.45">
      <c r="A29" s="12">
        <v>30</v>
      </c>
      <c r="B29" s="14">
        <f t="shared" si="0"/>
        <v>1.1499999999999999</v>
      </c>
      <c r="C29" s="14">
        <f t="shared" si="1"/>
        <v>1.18</v>
      </c>
      <c r="D29" s="14">
        <f t="shared" si="2"/>
        <v>1.24</v>
      </c>
      <c r="E29" s="14">
        <f t="shared" si="3"/>
        <v>1.3</v>
      </c>
      <c r="F29" s="14">
        <f t="shared" si="4"/>
        <v>1.45</v>
      </c>
      <c r="G29" s="14">
        <f t="shared" si="5"/>
        <v>1.6</v>
      </c>
      <c r="H29" s="10">
        <f t="shared" si="6"/>
        <v>0.65700000000000003</v>
      </c>
      <c r="I29" s="10">
        <f t="shared" si="7"/>
        <v>0.83193000000000006</v>
      </c>
    </row>
    <row r="30" spans="1:9" x14ac:dyDescent="0.45">
      <c r="A30" s="12">
        <v>35</v>
      </c>
      <c r="B30" s="14">
        <f t="shared" si="0"/>
        <v>1.175</v>
      </c>
      <c r="C30" s="14">
        <f t="shared" si="1"/>
        <v>1.21</v>
      </c>
      <c r="D30" s="14">
        <f t="shared" si="2"/>
        <v>1.28</v>
      </c>
      <c r="E30" s="14">
        <f t="shared" si="3"/>
        <v>1.35</v>
      </c>
      <c r="F30" s="14">
        <f t="shared" si="4"/>
        <v>1.5249999999999999</v>
      </c>
      <c r="G30" s="14">
        <f t="shared" si="5"/>
        <v>1.7</v>
      </c>
      <c r="H30" s="10">
        <f t="shared" si="6"/>
        <v>0.72537499999999988</v>
      </c>
      <c r="I30" s="10">
        <f t="shared" si="7"/>
        <v>0.8839709375</v>
      </c>
    </row>
    <row r="31" spans="1:9" x14ac:dyDescent="0.45">
      <c r="A31" s="12">
        <v>40</v>
      </c>
      <c r="B31" s="14">
        <f t="shared" si="0"/>
        <v>1.2</v>
      </c>
      <c r="C31" s="14">
        <f t="shared" si="1"/>
        <v>1.24</v>
      </c>
      <c r="D31" s="14">
        <f t="shared" si="2"/>
        <v>1.32</v>
      </c>
      <c r="E31" s="14">
        <f t="shared" si="3"/>
        <v>1.4</v>
      </c>
      <c r="F31" s="14">
        <f t="shared" si="4"/>
        <v>1.6</v>
      </c>
      <c r="G31" s="14">
        <f t="shared" si="5"/>
        <v>1.8</v>
      </c>
      <c r="H31" s="10">
        <f t="shared" si="6"/>
        <v>0.78400000000000003</v>
      </c>
      <c r="I31" s="10">
        <f t="shared" si="7"/>
        <v>0.92223999999999995</v>
      </c>
    </row>
    <row r="32" spans="1:9" x14ac:dyDescent="0.45">
      <c r="A32" s="12">
        <v>45</v>
      </c>
      <c r="B32" s="14">
        <f t="shared" si="0"/>
        <v>1.2250000000000001</v>
      </c>
      <c r="C32" s="14">
        <f t="shared" si="1"/>
        <v>1.27</v>
      </c>
      <c r="D32" s="14">
        <f t="shared" si="2"/>
        <v>1.36</v>
      </c>
      <c r="E32" s="14">
        <f t="shared" si="3"/>
        <v>1.45</v>
      </c>
      <c r="F32" s="14">
        <f t="shared" si="4"/>
        <v>1.675</v>
      </c>
      <c r="G32" s="14">
        <f t="shared" si="5"/>
        <v>1.9</v>
      </c>
      <c r="H32" s="10">
        <f t="shared" si="6"/>
        <v>0.83362499999999995</v>
      </c>
      <c r="I32" s="10">
        <f t="shared" si="7"/>
        <v>0.94967156249999995</v>
      </c>
    </row>
    <row r="33" spans="1:9" x14ac:dyDescent="0.45">
      <c r="A33" s="12">
        <v>50</v>
      </c>
      <c r="B33" s="14">
        <f t="shared" si="0"/>
        <v>1.25</v>
      </c>
      <c r="C33" s="14">
        <f t="shared" si="1"/>
        <v>1.3</v>
      </c>
      <c r="D33" s="14">
        <f t="shared" si="2"/>
        <v>1.4</v>
      </c>
      <c r="E33" s="14">
        <f t="shared" si="3"/>
        <v>1.5</v>
      </c>
      <c r="F33" s="14">
        <f t="shared" si="4"/>
        <v>1.75</v>
      </c>
      <c r="G33" s="14">
        <f t="shared" si="5"/>
        <v>2</v>
      </c>
      <c r="H33" s="10">
        <f t="shared" si="6"/>
        <v>0.875</v>
      </c>
      <c r="I33" s="10">
        <f t="shared" si="7"/>
        <v>0.96875</v>
      </c>
    </row>
    <row r="34" spans="1:9" x14ac:dyDescent="0.45">
      <c r="A34" s="12">
        <v>55</v>
      </c>
      <c r="B34" s="14">
        <f t="shared" si="0"/>
        <v>1.2749999999999999</v>
      </c>
      <c r="C34" s="14">
        <f t="shared" si="1"/>
        <v>1.33</v>
      </c>
      <c r="D34" s="14">
        <f t="shared" si="2"/>
        <v>1.44</v>
      </c>
      <c r="E34" s="14">
        <f t="shared" si="3"/>
        <v>1.55</v>
      </c>
      <c r="F34" s="14">
        <f t="shared" si="4"/>
        <v>1.8250000000000002</v>
      </c>
      <c r="G34" s="14">
        <f t="shared" si="5"/>
        <v>2.1</v>
      </c>
      <c r="H34" s="10">
        <f t="shared" si="6"/>
        <v>0.90887499999999999</v>
      </c>
      <c r="I34" s="10">
        <f t="shared" si="7"/>
        <v>0.98154718750000003</v>
      </c>
    </row>
    <row r="35" spans="1:9" x14ac:dyDescent="0.45">
      <c r="A35" s="12">
        <v>60</v>
      </c>
      <c r="B35" s="14">
        <f t="shared" si="0"/>
        <v>1.3</v>
      </c>
      <c r="C35" s="14">
        <f t="shared" si="1"/>
        <v>1.36</v>
      </c>
      <c r="D35" s="14">
        <f t="shared" si="2"/>
        <v>1.48</v>
      </c>
      <c r="E35" s="14">
        <f t="shared" si="3"/>
        <v>1.6</v>
      </c>
      <c r="F35" s="14">
        <f t="shared" si="4"/>
        <v>1.9</v>
      </c>
      <c r="G35" s="14">
        <f t="shared" si="5"/>
        <v>2.2000000000000002</v>
      </c>
      <c r="H35" s="10">
        <f t="shared" si="6"/>
        <v>0.93599999999999994</v>
      </c>
      <c r="I35" s="10">
        <f t="shared" si="7"/>
        <v>0.98975999999999997</v>
      </c>
    </row>
    <row r="36" spans="1:9" x14ac:dyDescent="0.45">
      <c r="A36" s="12">
        <v>65</v>
      </c>
      <c r="B36" s="14">
        <f t="shared" si="0"/>
        <v>1.325</v>
      </c>
      <c r="C36" s="14">
        <f t="shared" si="1"/>
        <v>1.3900000000000001</v>
      </c>
      <c r="D36" s="14">
        <f t="shared" si="2"/>
        <v>1.52</v>
      </c>
      <c r="E36" s="14">
        <f t="shared" si="3"/>
        <v>1.65</v>
      </c>
      <c r="F36" s="14">
        <f t="shared" si="4"/>
        <v>1.9750000000000001</v>
      </c>
      <c r="G36" s="14">
        <f t="shared" si="5"/>
        <v>2.2999999999999998</v>
      </c>
      <c r="H36" s="10">
        <f t="shared" si="6"/>
        <v>0.957125</v>
      </c>
      <c r="I36" s="10">
        <f t="shared" si="7"/>
        <v>0.99474781249999999</v>
      </c>
    </row>
    <row r="37" spans="1:9" x14ac:dyDescent="0.45">
      <c r="A37" s="12">
        <v>70</v>
      </c>
      <c r="B37" s="14">
        <f t="shared" si="0"/>
        <v>1.35</v>
      </c>
      <c r="C37" s="14">
        <f t="shared" si="1"/>
        <v>1.42</v>
      </c>
      <c r="D37" s="14">
        <f t="shared" si="2"/>
        <v>1.56</v>
      </c>
      <c r="E37" s="14">
        <f t="shared" si="3"/>
        <v>1.7</v>
      </c>
      <c r="F37" s="14">
        <f t="shared" si="4"/>
        <v>2.0499999999999998</v>
      </c>
      <c r="G37" s="14">
        <f t="shared" si="5"/>
        <v>2.4</v>
      </c>
      <c r="H37" s="10">
        <f t="shared" si="6"/>
        <v>0.97299999999999998</v>
      </c>
      <c r="I37" s="10">
        <f t="shared" si="7"/>
        <v>0.99756999999999996</v>
      </c>
    </row>
    <row r="38" spans="1:9" x14ac:dyDescent="0.45">
      <c r="A38" s="12">
        <v>75</v>
      </c>
      <c r="B38" s="14">
        <f t="shared" si="0"/>
        <v>1.375</v>
      </c>
      <c r="C38" s="14">
        <f t="shared" si="1"/>
        <v>1.4500000000000002</v>
      </c>
      <c r="D38" s="14">
        <f t="shared" si="2"/>
        <v>1.6</v>
      </c>
      <c r="E38" s="14">
        <f t="shared" si="3"/>
        <v>1.75</v>
      </c>
      <c r="F38" s="14">
        <f t="shared" si="4"/>
        <v>2.125</v>
      </c>
      <c r="G38" s="14">
        <f t="shared" si="5"/>
        <v>2.5</v>
      </c>
      <c r="H38" s="10">
        <f t="shared" si="6"/>
        <v>0.984375</v>
      </c>
      <c r="I38" s="10">
        <f t="shared" si="7"/>
        <v>0.9990234375</v>
      </c>
    </row>
    <row r="39" spans="1:9" x14ac:dyDescent="0.45">
      <c r="A39" s="12">
        <v>80</v>
      </c>
      <c r="B39" s="14">
        <f t="shared" si="0"/>
        <v>1.4</v>
      </c>
      <c r="C39" s="14">
        <f t="shared" si="1"/>
        <v>1.48</v>
      </c>
      <c r="D39" s="14">
        <f t="shared" si="2"/>
        <v>1.6400000000000001</v>
      </c>
      <c r="E39" s="14">
        <f t="shared" si="3"/>
        <v>1.8</v>
      </c>
      <c r="F39" s="14">
        <f t="shared" si="4"/>
        <v>2.2000000000000002</v>
      </c>
      <c r="G39" s="14">
        <f t="shared" si="5"/>
        <v>2.6</v>
      </c>
      <c r="H39" s="10">
        <f t="shared" si="6"/>
        <v>0.99199999999999999</v>
      </c>
      <c r="I39" s="10">
        <f t="shared" si="7"/>
        <v>0.99968000000000001</v>
      </c>
    </row>
    <row r="40" spans="1:9" x14ac:dyDescent="0.45">
      <c r="A40" s="12">
        <v>85</v>
      </c>
      <c r="B40" s="14">
        <f t="shared" si="0"/>
        <v>1.425</v>
      </c>
      <c r="C40" s="14">
        <f t="shared" si="1"/>
        <v>1.51</v>
      </c>
      <c r="D40" s="14">
        <f t="shared" si="2"/>
        <v>1.6800000000000002</v>
      </c>
      <c r="E40" s="14">
        <f t="shared" si="3"/>
        <v>1.85</v>
      </c>
      <c r="F40" s="14">
        <f t="shared" si="4"/>
        <v>2.2749999999999999</v>
      </c>
      <c r="G40" s="14">
        <f t="shared" si="5"/>
        <v>2.7</v>
      </c>
      <c r="H40" s="10">
        <f t="shared" si="6"/>
        <v>0.99662499999999998</v>
      </c>
      <c r="I40" s="10">
        <f t="shared" si="7"/>
        <v>0.99992406249999999</v>
      </c>
    </row>
    <row r="41" spans="1:9" x14ac:dyDescent="0.45">
      <c r="A41" s="12">
        <v>90</v>
      </c>
      <c r="B41" s="14">
        <f t="shared" si="0"/>
        <v>1.45</v>
      </c>
      <c r="C41" s="14">
        <f t="shared" si="1"/>
        <v>1.54</v>
      </c>
      <c r="D41" s="14">
        <f t="shared" si="2"/>
        <v>1.7200000000000002</v>
      </c>
      <c r="E41" s="14">
        <f t="shared" si="3"/>
        <v>1.9</v>
      </c>
      <c r="F41" s="14">
        <f t="shared" si="4"/>
        <v>2.35</v>
      </c>
      <c r="G41" s="14">
        <f t="shared" si="5"/>
        <v>2.8</v>
      </c>
      <c r="H41" s="10">
        <f t="shared" si="6"/>
        <v>0.999</v>
      </c>
      <c r="I41" s="10">
        <f t="shared" si="7"/>
        <v>0.99999000000000005</v>
      </c>
    </row>
    <row r="42" spans="1:9" x14ac:dyDescent="0.45">
      <c r="A42" s="12">
        <v>95</v>
      </c>
      <c r="B42" s="14">
        <f t="shared" si="0"/>
        <v>1.4750000000000001</v>
      </c>
      <c r="C42" s="14">
        <f t="shared" si="1"/>
        <v>1.57</v>
      </c>
      <c r="D42" s="14">
        <f t="shared" si="2"/>
        <v>1.76</v>
      </c>
      <c r="E42" s="14">
        <f t="shared" si="3"/>
        <v>1.95</v>
      </c>
      <c r="F42" s="14">
        <f t="shared" si="4"/>
        <v>2.4249999999999998</v>
      </c>
      <c r="G42" s="14">
        <f t="shared" si="5"/>
        <v>2.9</v>
      </c>
      <c r="H42" s="10">
        <f t="shared" si="6"/>
        <v>0.99987499999999996</v>
      </c>
      <c r="I42" s="10">
        <f t="shared" si="7"/>
        <v>0.99999968750000001</v>
      </c>
    </row>
    <row r="43" spans="1:9" x14ac:dyDescent="0.45">
      <c r="A43" s="12">
        <v>100</v>
      </c>
      <c r="B43" s="14">
        <f t="shared" si="0"/>
        <v>1.5</v>
      </c>
      <c r="C43" s="14">
        <f t="shared" si="1"/>
        <v>1.6</v>
      </c>
      <c r="D43" s="14">
        <f t="shared" si="2"/>
        <v>1.8</v>
      </c>
      <c r="E43" s="14">
        <f t="shared" si="3"/>
        <v>2</v>
      </c>
      <c r="F43" s="14">
        <f t="shared" si="4"/>
        <v>2.5</v>
      </c>
      <c r="G43" s="14">
        <f t="shared" si="5"/>
        <v>3</v>
      </c>
      <c r="H43" s="10">
        <f t="shared" si="6"/>
        <v>1</v>
      </c>
      <c r="I43" s="10">
        <f t="shared" si="7"/>
        <v>1</v>
      </c>
    </row>
    <row r="44" spans="1:9" x14ac:dyDescent="0.45">
      <c r="A44" s="2" t="s">
        <v>509</v>
      </c>
    </row>
    <row r="46" spans="1:9" x14ac:dyDescent="0.45">
      <c r="A46" s="3" t="s">
        <v>510</v>
      </c>
      <c r="B46" s="3"/>
      <c r="C46" s="3"/>
      <c r="D46" s="3"/>
      <c r="E46" s="3"/>
      <c r="F46" s="3"/>
      <c r="G46" s="3"/>
      <c r="H46" s="3"/>
      <c r="I46" s="3"/>
    </row>
    <row r="47" spans="1:9" x14ac:dyDescent="0.45">
      <c r="A47" s="8" t="s">
        <v>511</v>
      </c>
      <c r="B47" s="12">
        <v>10</v>
      </c>
    </row>
    <row r="48" spans="1:9" x14ac:dyDescent="0.45">
      <c r="A48" s="8" t="s">
        <v>512</v>
      </c>
      <c r="B48" s="12">
        <v>10</v>
      </c>
    </row>
    <row r="49" spans="1:9" x14ac:dyDescent="0.45">
      <c r="A49" s="8" t="s">
        <v>513</v>
      </c>
      <c r="B49" s="12">
        <v>15</v>
      </c>
    </row>
    <row r="50" spans="1:9" x14ac:dyDescent="0.45">
      <c r="A50" s="8" t="s">
        <v>514</v>
      </c>
      <c r="B50" s="12">
        <v>5</v>
      </c>
    </row>
    <row r="51" spans="1:9" x14ac:dyDescent="0.45">
      <c r="A51" s="8" t="s">
        <v>515</v>
      </c>
      <c r="B51" s="12">
        <v>15</v>
      </c>
    </row>
    <row r="52" spans="1:9" x14ac:dyDescent="0.45">
      <c r="A52" s="7" t="s">
        <v>516</v>
      </c>
      <c r="B52" s="20">
        <f>MIN(100,SUM(B47:B51))</f>
        <v>55</v>
      </c>
    </row>
    <row r="53" spans="1:9" x14ac:dyDescent="0.45">
      <c r="A53" s="7" t="s">
        <v>517</v>
      </c>
      <c r="B53" s="20">
        <f>MIN(100,SUM(B47:B50))</f>
        <v>40</v>
      </c>
    </row>
    <row r="55" spans="1:9" x14ac:dyDescent="0.45">
      <c r="A55" s="3" t="s">
        <v>518</v>
      </c>
      <c r="B55" s="3"/>
      <c r="C55" s="3"/>
      <c r="D55" s="3"/>
      <c r="E55" s="3"/>
      <c r="F55" s="3"/>
      <c r="G55" s="3"/>
      <c r="H55" s="3"/>
      <c r="I55" s="3"/>
    </row>
    <row r="56" spans="1:9" x14ac:dyDescent="0.45">
      <c r="A56" s="6" t="s">
        <v>519</v>
      </c>
      <c r="B56" s="6" t="s">
        <v>520</v>
      </c>
      <c r="C56" s="6" t="s">
        <v>521</v>
      </c>
    </row>
    <row r="57" spans="1:9" x14ac:dyDescent="0.45">
      <c r="A57" s="8" t="s">
        <v>522</v>
      </c>
      <c r="B57" s="12">
        <v>10</v>
      </c>
      <c r="C57" s="14">
        <f>1+B57/100*($B$20-1)</f>
        <v>1.05</v>
      </c>
    </row>
    <row r="58" spans="1:9" x14ac:dyDescent="0.45">
      <c r="A58" s="8" t="s">
        <v>523</v>
      </c>
      <c r="B58" s="12">
        <v>15</v>
      </c>
      <c r="C58" s="14">
        <f>1+B58/100*($B$20-1)</f>
        <v>1.075</v>
      </c>
    </row>
    <row r="59" spans="1:9" x14ac:dyDescent="0.45">
      <c r="A59" s="8" t="s">
        <v>524</v>
      </c>
      <c r="B59" s="12">
        <v>5</v>
      </c>
      <c r="C59" s="14">
        <f>1+B59/100*($B$20-1)</f>
        <v>1.0249999999999999</v>
      </c>
    </row>
    <row r="60" spans="1:9" x14ac:dyDescent="0.45">
      <c r="A60" s="8" t="s">
        <v>525</v>
      </c>
      <c r="B60" s="12">
        <v>10</v>
      </c>
      <c r="C60" s="14">
        <f>1+B60/100*($B$20-1)</f>
        <v>1.05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9"/>
  <sheetViews>
    <sheetView showGridLines="0" workbookViewId="0"/>
  </sheetViews>
  <sheetFormatPr baseColWidth="10" defaultColWidth="9.06640625" defaultRowHeight="14.25" x14ac:dyDescent="0.45"/>
  <cols>
    <col min="1" max="1" width="36" customWidth="1"/>
    <col min="2" max="9" width="13" customWidth="1"/>
    <col min="10" max="10" width="40" customWidth="1"/>
  </cols>
  <sheetData>
    <row r="1" spans="1:10" ht="17.649999999999999" x14ac:dyDescent="0.5">
      <c r="A1" s="1" t="s">
        <v>526</v>
      </c>
    </row>
    <row r="2" spans="1:10" x14ac:dyDescent="0.45">
      <c r="A2" s="2" t="s">
        <v>527</v>
      </c>
    </row>
    <row r="4" spans="1:10" x14ac:dyDescent="0.45">
      <c r="A4" s="3" t="s">
        <v>528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45">
      <c r="A5" s="2" t="s">
        <v>529</v>
      </c>
    </row>
    <row r="6" spans="1:10" x14ac:dyDescent="0.45">
      <c r="A6" s="5" t="s">
        <v>530</v>
      </c>
      <c r="B6" s="12">
        <v>5</v>
      </c>
      <c r="C6" s="2" t="s">
        <v>118</v>
      </c>
    </row>
    <row r="7" spans="1:10" x14ac:dyDescent="0.45">
      <c r="A7" s="6" t="s">
        <v>122</v>
      </c>
      <c r="B7" s="6" t="s">
        <v>531</v>
      </c>
      <c r="C7" s="6" t="s">
        <v>532</v>
      </c>
      <c r="D7" s="6" t="s">
        <v>533</v>
      </c>
      <c r="E7" s="6" t="s">
        <v>534</v>
      </c>
      <c r="F7" s="6" t="s">
        <v>535</v>
      </c>
    </row>
    <row r="8" spans="1:10" x14ac:dyDescent="0.45">
      <c r="A8" s="12">
        <v>1</v>
      </c>
      <c r="B8" s="24">
        <f t="shared" ref="B8:B27" si="0">MIN(3,1+INT((A8-1)/$B$6))</f>
        <v>1</v>
      </c>
      <c r="C8" s="8" t="str">
        <f t="shared" ref="C8:C27" si="1">IF(B8=1,"Gobelin, Slime",IF(B8=2,"Gobelin, Slime, Squelette","Gobelin, Orc Furieux, Slime, Squelette"))</f>
        <v>Gobelin, Slime</v>
      </c>
      <c r="D8" s="24">
        <f t="shared" ref="D8:D27" si="2">1+(A8-1)</f>
        <v>1</v>
      </c>
      <c r="E8" s="24">
        <f t="shared" ref="E8:E27" si="3">1+INT((A8-1)/2)</f>
        <v>1</v>
      </c>
      <c r="F8" s="24">
        <f t="shared" ref="F8:F27" si="4">1+INT((A8-1)/5)</f>
        <v>1</v>
      </c>
    </row>
    <row r="9" spans="1:10" x14ac:dyDescent="0.45">
      <c r="A9" s="12">
        <v>2</v>
      </c>
      <c r="B9" s="24">
        <f t="shared" si="0"/>
        <v>1</v>
      </c>
      <c r="C9" s="8" t="str">
        <f t="shared" si="1"/>
        <v>Gobelin, Slime</v>
      </c>
      <c r="D9" s="24">
        <f t="shared" si="2"/>
        <v>2</v>
      </c>
      <c r="E9" s="24">
        <f t="shared" si="3"/>
        <v>1</v>
      </c>
      <c r="F9" s="24">
        <f t="shared" si="4"/>
        <v>1</v>
      </c>
    </row>
    <row r="10" spans="1:10" x14ac:dyDescent="0.45">
      <c r="A10" s="12">
        <v>3</v>
      </c>
      <c r="B10" s="24">
        <f t="shared" si="0"/>
        <v>1</v>
      </c>
      <c r="C10" s="8" t="str">
        <f t="shared" si="1"/>
        <v>Gobelin, Slime</v>
      </c>
      <c r="D10" s="24">
        <f t="shared" si="2"/>
        <v>3</v>
      </c>
      <c r="E10" s="24">
        <f t="shared" si="3"/>
        <v>2</v>
      </c>
      <c r="F10" s="24">
        <f t="shared" si="4"/>
        <v>1</v>
      </c>
    </row>
    <row r="11" spans="1:10" x14ac:dyDescent="0.45">
      <c r="A11" s="12">
        <v>4</v>
      </c>
      <c r="B11" s="24">
        <f t="shared" si="0"/>
        <v>1</v>
      </c>
      <c r="C11" s="8" t="str">
        <f t="shared" si="1"/>
        <v>Gobelin, Slime</v>
      </c>
      <c r="D11" s="24">
        <f t="shared" si="2"/>
        <v>4</v>
      </c>
      <c r="E11" s="24">
        <f t="shared" si="3"/>
        <v>2</v>
      </c>
      <c r="F11" s="24">
        <f t="shared" si="4"/>
        <v>1</v>
      </c>
    </row>
    <row r="12" spans="1:10" x14ac:dyDescent="0.45">
      <c r="A12" s="12">
        <v>5</v>
      </c>
      <c r="B12" s="24">
        <f t="shared" si="0"/>
        <v>1</v>
      </c>
      <c r="C12" s="8" t="str">
        <f t="shared" si="1"/>
        <v>Gobelin, Slime</v>
      </c>
      <c r="D12" s="24">
        <f t="shared" si="2"/>
        <v>5</v>
      </c>
      <c r="E12" s="24">
        <f t="shared" si="3"/>
        <v>3</v>
      </c>
      <c r="F12" s="24">
        <f t="shared" si="4"/>
        <v>1</v>
      </c>
    </row>
    <row r="13" spans="1:10" x14ac:dyDescent="0.45">
      <c r="A13" s="12">
        <v>6</v>
      </c>
      <c r="B13" s="24">
        <f t="shared" si="0"/>
        <v>2</v>
      </c>
      <c r="C13" s="8" t="str">
        <f t="shared" si="1"/>
        <v>Gobelin, Slime, Squelette</v>
      </c>
      <c r="D13" s="24">
        <f t="shared" si="2"/>
        <v>6</v>
      </c>
      <c r="E13" s="24">
        <f t="shared" si="3"/>
        <v>3</v>
      </c>
      <c r="F13" s="24">
        <f t="shared" si="4"/>
        <v>2</v>
      </c>
    </row>
    <row r="14" spans="1:10" x14ac:dyDescent="0.45">
      <c r="A14" s="12">
        <v>7</v>
      </c>
      <c r="B14" s="24">
        <f t="shared" si="0"/>
        <v>2</v>
      </c>
      <c r="C14" s="8" t="str">
        <f t="shared" si="1"/>
        <v>Gobelin, Slime, Squelette</v>
      </c>
      <c r="D14" s="24">
        <f t="shared" si="2"/>
        <v>7</v>
      </c>
      <c r="E14" s="24">
        <f t="shared" si="3"/>
        <v>4</v>
      </c>
      <c r="F14" s="24">
        <f t="shared" si="4"/>
        <v>2</v>
      </c>
    </row>
    <row r="15" spans="1:10" x14ac:dyDescent="0.45">
      <c r="A15" s="12">
        <v>8</v>
      </c>
      <c r="B15" s="24">
        <f t="shared" si="0"/>
        <v>2</v>
      </c>
      <c r="C15" s="8" t="str">
        <f t="shared" si="1"/>
        <v>Gobelin, Slime, Squelette</v>
      </c>
      <c r="D15" s="24">
        <f t="shared" si="2"/>
        <v>8</v>
      </c>
      <c r="E15" s="24">
        <f t="shared" si="3"/>
        <v>4</v>
      </c>
      <c r="F15" s="24">
        <f t="shared" si="4"/>
        <v>2</v>
      </c>
    </row>
    <row r="16" spans="1:10" x14ac:dyDescent="0.45">
      <c r="A16" s="12">
        <v>9</v>
      </c>
      <c r="B16" s="24">
        <f t="shared" si="0"/>
        <v>2</v>
      </c>
      <c r="C16" s="8" t="str">
        <f t="shared" si="1"/>
        <v>Gobelin, Slime, Squelette</v>
      </c>
      <c r="D16" s="24">
        <f t="shared" si="2"/>
        <v>9</v>
      </c>
      <c r="E16" s="24">
        <f t="shared" si="3"/>
        <v>5</v>
      </c>
      <c r="F16" s="24">
        <f t="shared" si="4"/>
        <v>2</v>
      </c>
    </row>
    <row r="17" spans="1:10" x14ac:dyDescent="0.45">
      <c r="A17" s="12">
        <v>10</v>
      </c>
      <c r="B17" s="24">
        <f t="shared" si="0"/>
        <v>2</v>
      </c>
      <c r="C17" s="8" t="str">
        <f t="shared" si="1"/>
        <v>Gobelin, Slime, Squelette</v>
      </c>
      <c r="D17" s="24">
        <f t="shared" si="2"/>
        <v>10</v>
      </c>
      <c r="E17" s="24">
        <f t="shared" si="3"/>
        <v>5</v>
      </c>
      <c r="F17" s="24">
        <f t="shared" si="4"/>
        <v>2</v>
      </c>
    </row>
    <row r="18" spans="1:10" x14ac:dyDescent="0.45">
      <c r="A18" s="12">
        <v>11</v>
      </c>
      <c r="B18" s="24">
        <f t="shared" si="0"/>
        <v>3</v>
      </c>
      <c r="C18" s="8" t="str">
        <f t="shared" si="1"/>
        <v>Gobelin, Orc Furieux, Slime, Squelette</v>
      </c>
      <c r="D18" s="24">
        <f t="shared" si="2"/>
        <v>11</v>
      </c>
      <c r="E18" s="24">
        <f t="shared" si="3"/>
        <v>6</v>
      </c>
      <c r="F18" s="24">
        <f t="shared" si="4"/>
        <v>3</v>
      </c>
    </row>
    <row r="19" spans="1:10" x14ac:dyDescent="0.45">
      <c r="A19" s="12">
        <v>12</v>
      </c>
      <c r="B19" s="24">
        <f t="shared" si="0"/>
        <v>3</v>
      </c>
      <c r="C19" s="8" t="str">
        <f t="shared" si="1"/>
        <v>Gobelin, Orc Furieux, Slime, Squelette</v>
      </c>
      <c r="D19" s="24">
        <f t="shared" si="2"/>
        <v>12</v>
      </c>
      <c r="E19" s="24">
        <f t="shared" si="3"/>
        <v>6</v>
      </c>
      <c r="F19" s="24">
        <f t="shared" si="4"/>
        <v>3</v>
      </c>
    </row>
    <row r="20" spans="1:10" x14ac:dyDescent="0.45">
      <c r="A20" s="12">
        <v>13</v>
      </c>
      <c r="B20" s="24">
        <f t="shared" si="0"/>
        <v>3</v>
      </c>
      <c r="C20" s="8" t="str">
        <f t="shared" si="1"/>
        <v>Gobelin, Orc Furieux, Slime, Squelette</v>
      </c>
      <c r="D20" s="24">
        <f t="shared" si="2"/>
        <v>13</v>
      </c>
      <c r="E20" s="24">
        <f t="shared" si="3"/>
        <v>7</v>
      </c>
      <c r="F20" s="24">
        <f t="shared" si="4"/>
        <v>3</v>
      </c>
    </row>
    <row r="21" spans="1:10" x14ac:dyDescent="0.45">
      <c r="A21" s="12">
        <v>14</v>
      </c>
      <c r="B21" s="24">
        <f t="shared" si="0"/>
        <v>3</v>
      </c>
      <c r="C21" s="8" t="str">
        <f t="shared" si="1"/>
        <v>Gobelin, Orc Furieux, Slime, Squelette</v>
      </c>
      <c r="D21" s="24">
        <f t="shared" si="2"/>
        <v>14</v>
      </c>
      <c r="E21" s="24">
        <f t="shared" si="3"/>
        <v>7</v>
      </c>
      <c r="F21" s="24">
        <f t="shared" si="4"/>
        <v>3</v>
      </c>
    </row>
    <row r="22" spans="1:10" x14ac:dyDescent="0.45">
      <c r="A22" s="12">
        <v>15</v>
      </c>
      <c r="B22" s="24">
        <f t="shared" si="0"/>
        <v>3</v>
      </c>
      <c r="C22" s="8" t="str">
        <f t="shared" si="1"/>
        <v>Gobelin, Orc Furieux, Slime, Squelette</v>
      </c>
      <c r="D22" s="24">
        <f t="shared" si="2"/>
        <v>15</v>
      </c>
      <c r="E22" s="24">
        <f t="shared" si="3"/>
        <v>8</v>
      </c>
      <c r="F22" s="24">
        <f t="shared" si="4"/>
        <v>3</v>
      </c>
    </row>
    <row r="23" spans="1:10" x14ac:dyDescent="0.45">
      <c r="A23" s="12">
        <v>16</v>
      </c>
      <c r="B23" s="24">
        <f t="shared" si="0"/>
        <v>3</v>
      </c>
      <c r="C23" s="8" t="str">
        <f t="shared" si="1"/>
        <v>Gobelin, Orc Furieux, Slime, Squelette</v>
      </c>
      <c r="D23" s="24">
        <f t="shared" si="2"/>
        <v>16</v>
      </c>
      <c r="E23" s="24">
        <f t="shared" si="3"/>
        <v>8</v>
      </c>
      <c r="F23" s="24">
        <f t="shared" si="4"/>
        <v>4</v>
      </c>
    </row>
    <row r="24" spans="1:10" x14ac:dyDescent="0.45">
      <c r="A24" s="12">
        <v>17</v>
      </c>
      <c r="B24" s="24">
        <f t="shared" si="0"/>
        <v>3</v>
      </c>
      <c r="C24" s="8" t="str">
        <f t="shared" si="1"/>
        <v>Gobelin, Orc Furieux, Slime, Squelette</v>
      </c>
      <c r="D24" s="24">
        <f t="shared" si="2"/>
        <v>17</v>
      </c>
      <c r="E24" s="24">
        <f t="shared" si="3"/>
        <v>9</v>
      </c>
      <c r="F24" s="24">
        <f t="shared" si="4"/>
        <v>4</v>
      </c>
    </row>
    <row r="25" spans="1:10" x14ac:dyDescent="0.45">
      <c r="A25" s="12">
        <v>18</v>
      </c>
      <c r="B25" s="24">
        <f t="shared" si="0"/>
        <v>3</v>
      </c>
      <c r="C25" s="8" t="str">
        <f t="shared" si="1"/>
        <v>Gobelin, Orc Furieux, Slime, Squelette</v>
      </c>
      <c r="D25" s="24">
        <f t="shared" si="2"/>
        <v>18</v>
      </c>
      <c r="E25" s="24">
        <f t="shared" si="3"/>
        <v>9</v>
      </c>
      <c r="F25" s="24">
        <f t="shared" si="4"/>
        <v>4</v>
      </c>
    </row>
    <row r="26" spans="1:10" x14ac:dyDescent="0.45">
      <c r="A26" s="12">
        <v>19</v>
      </c>
      <c r="B26" s="24">
        <f t="shared" si="0"/>
        <v>3</v>
      </c>
      <c r="C26" s="8" t="str">
        <f t="shared" si="1"/>
        <v>Gobelin, Orc Furieux, Slime, Squelette</v>
      </c>
      <c r="D26" s="24">
        <f t="shared" si="2"/>
        <v>19</v>
      </c>
      <c r="E26" s="24">
        <f t="shared" si="3"/>
        <v>10</v>
      </c>
      <c r="F26" s="24">
        <f t="shared" si="4"/>
        <v>4</v>
      </c>
    </row>
    <row r="27" spans="1:10" x14ac:dyDescent="0.45">
      <c r="A27" s="12">
        <v>20</v>
      </c>
      <c r="B27" s="24">
        <f t="shared" si="0"/>
        <v>3</v>
      </c>
      <c r="C27" s="8" t="str">
        <f t="shared" si="1"/>
        <v>Gobelin, Orc Furieux, Slime, Squelette</v>
      </c>
      <c r="D27" s="24">
        <f t="shared" si="2"/>
        <v>20</v>
      </c>
      <c r="E27" s="24">
        <f t="shared" si="3"/>
        <v>10</v>
      </c>
      <c r="F27" s="24">
        <f t="shared" si="4"/>
        <v>4</v>
      </c>
    </row>
    <row r="29" spans="1:10" x14ac:dyDescent="0.45">
      <c r="A29" s="3" t="s">
        <v>536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45">
      <c r="A30" s="2" t="s">
        <v>537</v>
      </c>
    </row>
    <row r="31" spans="1:10" x14ac:dyDescent="0.45">
      <c r="A31" s="6" t="s">
        <v>519</v>
      </c>
      <c r="B31" s="6" t="s">
        <v>538</v>
      </c>
      <c r="C31" s="6" t="s">
        <v>539</v>
      </c>
    </row>
    <row r="32" spans="1:10" x14ac:dyDescent="0.45">
      <c r="A32" s="8" t="s">
        <v>522</v>
      </c>
      <c r="B32" s="8" t="s">
        <v>540</v>
      </c>
      <c r="C32" s="8" t="s">
        <v>541</v>
      </c>
    </row>
    <row r="33" spans="1:10" x14ac:dyDescent="0.45">
      <c r="A33" s="8" t="s">
        <v>523</v>
      </c>
      <c r="B33" s="8" t="s">
        <v>542</v>
      </c>
      <c r="C33" s="8" t="s">
        <v>541</v>
      </c>
    </row>
    <row r="34" spans="1:10" x14ac:dyDescent="0.45">
      <c r="A34" s="8" t="s">
        <v>524</v>
      </c>
      <c r="B34" s="8" t="s">
        <v>543</v>
      </c>
      <c r="C34" s="8" t="s">
        <v>541</v>
      </c>
    </row>
    <row r="35" spans="1:10" x14ac:dyDescent="0.45">
      <c r="A35" s="8" t="s">
        <v>525</v>
      </c>
      <c r="B35" s="8" t="s">
        <v>544</v>
      </c>
      <c r="C35" s="8" t="s">
        <v>541</v>
      </c>
    </row>
    <row r="36" spans="1:10" x14ac:dyDescent="0.45">
      <c r="A36" s="6" t="s">
        <v>545</v>
      </c>
      <c r="B36" s="6" t="s">
        <v>51</v>
      </c>
      <c r="C36" s="6" t="s">
        <v>472</v>
      </c>
    </row>
    <row r="37" spans="1:10" x14ac:dyDescent="0.45">
      <c r="A37" s="8" t="s">
        <v>546</v>
      </c>
      <c r="B37" s="17">
        <v>0.6</v>
      </c>
      <c r="C37" s="15" t="s">
        <v>547</v>
      </c>
    </row>
    <row r="38" spans="1:10" x14ac:dyDescent="0.45">
      <c r="A38" s="8" t="s">
        <v>548</v>
      </c>
      <c r="B38" s="17">
        <v>0.25</v>
      </c>
      <c r="C38" s="15" t="s">
        <v>549</v>
      </c>
    </row>
    <row r="39" spans="1:10" x14ac:dyDescent="0.45">
      <c r="A39" s="8" t="s">
        <v>550</v>
      </c>
      <c r="B39" s="17">
        <v>0.15</v>
      </c>
      <c r="C39" s="15" t="s">
        <v>551</v>
      </c>
    </row>
    <row r="40" spans="1:10" x14ac:dyDescent="0.45">
      <c r="A40" s="2" t="s">
        <v>552</v>
      </c>
    </row>
    <row r="42" spans="1:10" x14ac:dyDescent="0.45">
      <c r="A42" s="3" t="s">
        <v>553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45">
      <c r="A43" s="2" t="s">
        <v>554</v>
      </c>
    </row>
    <row r="44" spans="1:10" x14ac:dyDescent="0.45">
      <c r="A44" s="5" t="s">
        <v>122</v>
      </c>
      <c r="B44" s="22">
        <v>1</v>
      </c>
    </row>
    <row r="45" spans="1:10" x14ac:dyDescent="0.45">
      <c r="A45" s="5" t="s">
        <v>555</v>
      </c>
      <c r="B45" s="22">
        <v>1</v>
      </c>
    </row>
    <row r="46" spans="1:10" x14ac:dyDescent="0.45">
      <c r="A46" s="5" t="s">
        <v>556</v>
      </c>
      <c r="B46" s="22">
        <v>100</v>
      </c>
    </row>
    <row r="47" spans="1:10" x14ac:dyDescent="0.45">
      <c r="A47" s="5" t="s">
        <v>557</v>
      </c>
      <c r="B47" s="22">
        <v>0</v>
      </c>
    </row>
    <row r="48" spans="1:10" x14ac:dyDescent="0.45">
      <c r="A48" s="5" t="s">
        <v>558</v>
      </c>
      <c r="B48" s="22">
        <v>3</v>
      </c>
    </row>
    <row r="49" spans="1:2" x14ac:dyDescent="0.45">
      <c r="A49" s="5" t="s">
        <v>24</v>
      </c>
      <c r="B49" s="22">
        <v>0</v>
      </c>
    </row>
    <row r="50" spans="1:2" x14ac:dyDescent="0.45">
      <c r="A50" s="5" t="s">
        <v>559</v>
      </c>
      <c r="B50" s="22">
        <v>0</v>
      </c>
    </row>
    <row r="51" spans="1:2" x14ac:dyDescent="0.45">
      <c r="A51" s="5" t="s">
        <v>560</v>
      </c>
      <c r="B51" s="22">
        <v>1</v>
      </c>
    </row>
    <row r="53" spans="1:2" x14ac:dyDescent="0.45">
      <c r="A53" s="5" t="s">
        <v>561</v>
      </c>
      <c r="B53" s="9">
        <f>$B$46+$B$47*10+$B$48*15+$B$49*5+$B$50*2</f>
        <v>145</v>
      </c>
    </row>
    <row r="54" spans="1:2" x14ac:dyDescent="0.45">
      <c r="A54" s="5" t="s">
        <v>562</v>
      </c>
      <c r="B54" s="9">
        <f>145+($B$45-1)*15+($B$44-1)*20</f>
        <v>145</v>
      </c>
    </row>
    <row r="55" spans="1:2" x14ac:dyDescent="0.45">
      <c r="A55" s="5" t="s">
        <v>563</v>
      </c>
      <c r="B55" s="9">
        <f>40+($B$45-1)*10+($B$44-1)*25</f>
        <v>40</v>
      </c>
    </row>
    <row r="56" spans="1:2" x14ac:dyDescent="0.45">
      <c r="A56" s="5" t="s">
        <v>564</v>
      </c>
      <c r="B56" s="9">
        <f>1+($B$53/$B$54-1)*0.5</f>
        <v>1</v>
      </c>
    </row>
    <row r="57" spans="1:2" x14ac:dyDescent="0.45">
      <c r="A57" s="5" t="s">
        <v>565</v>
      </c>
      <c r="B57" s="9">
        <f>IF($B$51=3,2,IF($B$51=2,1.5,1))</f>
        <v>1</v>
      </c>
    </row>
    <row r="58" spans="1:2" x14ac:dyDescent="0.45">
      <c r="A58" s="5" t="s">
        <v>566</v>
      </c>
      <c r="B58" s="9">
        <f>$B$55*$B$56*$B$57+($B$44-1)*10</f>
        <v>40</v>
      </c>
    </row>
    <row r="59" spans="1:2" x14ac:dyDescent="0.45">
      <c r="A59" s="5" t="s">
        <v>567</v>
      </c>
      <c r="B59" s="12">
        <f>MAX(1,$B$45+IF($B$51=3,2,IF($B$51=2,1,0)))</f>
        <v>1</v>
      </c>
    </row>
    <row r="60" spans="1:2" x14ac:dyDescent="0.45">
      <c r="A60" s="5" t="s">
        <v>568</v>
      </c>
      <c r="B60" s="9">
        <f>1.35^INT(($B$44-1)/2)*(1+0.05*MOD($B$44-1,2))</f>
        <v>1</v>
      </c>
    </row>
    <row r="61" spans="1:2" x14ac:dyDescent="0.45">
      <c r="A61" s="5" t="s">
        <v>569</v>
      </c>
      <c r="B61" s="9">
        <f>1.25^INT(($B$44-1)/2)*(1+0.03*MOD($B$44-1,2))</f>
        <v>1</v>
      </c>
    </row>
    <row r="62" spans="1:2" x14ac:dyDescent="0.45">
      <c r="A62" s="5" t="s">
        <v>570</v>
      </c>
      <c r="B62" s="9">
        <f>(1+0.06*($B$59-1))*$B$60*IF($B$51=3,3,IF($B$51=2,1.5,1))</f>
        <v>1</v>
      </c>
    </row>
    <row r="63" spans="1:2" x14ac:dyDescent="0.45">
      <c r="A63" s="5" t="s">
        <v>571</v>
      </c>
      <c r="B63" s="9">
        <f>(1+0.04*($B$59-1))*$B$61*IF($B$51=3,3,IF($B$51=2,1.5,1))</f>
        <v>1</v>
      </c>
    </row>
    <row r="64" spans="1:2" x14ac:dyDescent="0.45">
      <c r="A64" s="5" t="s">
        <v>572</v>
      </c>
      <c r="B64" s="12">
        <f>MIN(3,1+INT(($B$44-1)/$B$6))</f>
        <v>1</v>
      </c>
    </row>
    <row r="65" spans="1:10" x14ac:dyDescent="0.45">
      <c r="A65" s="5" t="s">
        <v>573</v>
      </c>
      <c r="B65" s="12">
        <f>IF($B$51=3,1+INT(($B$44-1)/5),IF($B$51=2,1+INT(($B$44-1)/2),$B$44))</f>
        <v>1</v>
      </c>
    </row>
    <row r="67" spans="1:10" x14ac:dyDescent="0.45">
      <c r="A67" s="6" t="s">
        <v>519</v>
      </c>
      <c r="B67" s="6" t="s">
        <v>574</v>
      </c>
      <c r="C67" s="6" t="s">
        <v>575</v>
      </c>
      <c r="D67" s="6" t="s">
        <v>576</v>
      </c>
      <c r="E67" s="6" t="s">
        <v>577</v>
      </c>
      <c r="F67" s="6" t="s">
        <v>578</v>
      </c>
      <c r="G67" s="6" t="s">
        <v>579</v>
      </c>
      <c r="H67" s="6" t="s">
        <v>580</v>
      </c>
      <c r="I67" s="6" t="s">
        <v>581</v>
      </c>
      <c r="J67" s="6" t="s">
        <v>582</v>
      </c>
    </row>
    <row r="68" spans="1:10" x14ac:dyDescent="0.45">
      <c r="A68" s="8" t="s">
        <v>522</v>
      </c>
      <c r="B68" s="12">
        <v>1</v>
      </c>
      <c r="C68" s="12">
        <v>28</v>
      </c>
      <c r="D68" s="12">
        <v>5</v>
      </c>
      <c r="E68" s="12">
        <v>10</v>
      </c>
      <c r="F68" s="24">
        <f>ROUND(C68*$B$62,0)</f>
        <v>28</v>
      </c>
      <c r="G68" s="24">
        <f>ROUND(D68*$B$63,0)</f>
        <v>5</v>
      </c>
      <c r="H68" s="14">
        <f>B68*15+F68/4+G68*2*(1+E68/100)</f>
        <v>33</v>
      </c>
      <c r="I68" s="24">
        <f>IF(B68&lt;=$B$64,1,0)</f>
        <v>1</v>
      </c>
      <c r="J68" s="24">
        <f>IF(AND(I68=1,H68&lt;=$B$58),1,0)</f>
        <v>1</v>
      </c>
    </row>
    <row r="69" spans="1:10" x14ac:dyDescent="0.45">
      <c r="A69" s="8" t="s">
        <v>523</v>
      </c>
      <c r="B69" s="12">
        <v>3</v>
      </c>
      <c r="C69" s="12">
        <v>50</v>
      </c>
      <c r="D69" s="12">
        <v>8</v>
      </c>
      <c r="E69" s="12">
        <v>15</v>
      </c>
      <c r="F69" s="24">
        <f>ROUND(C69*$B$62,0)</f>
        <v>50</v>
      </c>
      <c r="G69" s="24">
        <f>ROUND(D69*$B$63,0)</f>
        <v>8</v>
      </c>
      <c r="H69" s="14">
        <f>B69*15+F69/4+G69*2*(1+E69/100)</f>
        <v>75.900000000000006</v>
      </c>
      <c r="I69" s="24">
        <f>IF(B69&lt;=$B$64,1,0)</f>
        <v>0</v>
      </c>
      <c r="J69" s="24">
        <f>IF(AND(I69=1,H69&lt;=$B$58),1,0)</f>
        <v>0</v>
      </c>
    </row>
    <row r="70" spans="1:10" x14ac:dyDescent="0.45">
      <c r="A70" s="8" t="s">
        <v>524</v>
      </c>
      <c r="B70" s="12">
        <v>1</v>
      </c>
      <c r="C70" s="12">
        <v>18</v>
      </c>
      <c r="D70" s="12">
        <v>4</v>
      </c>
      <c r="E70" s="12">
        <v>5</v>
      </c>
      <c r="F70" s="24">
        <f>ROUND(C70*$B$62,0)</f>
        <v>18</v>
      </c>
      <c r="G70" s="24">
        <f>ROUND(D70*$B$63,0)</f>
        <v>4</v>
      </c>
      <c r="H70" s="14">
        <f>B70*15+F70/4+G70*2*(1+E70/100)</f>
        <v>27.9</v>
      </c>
      <c r="I70" s="24">
        <f>IF(B70&lt;=$B$64,1,0)</f>
        <v>1</v>
      </c>
      <c r="J70" s="24">
        <f>IF(AND(I70=1,H70&lt;=$B$58),1,0)</f>
        <v>1</v>
      </c>
    </row>
    <row r="71" spans="1:10" x14ac:dyDescent="0.45">
      <c r="A71" s="8" t="s">
        <v>525</v>
      </c>
      <c r="B71" s="12">
        <v>2</v>
      </c>
      <c r="C71" s="12">
        <v>22</v>
      </c>
      <c r="D71" s="12">
        <v>8</v>
      </c>
      <c r="E71" s="12">
        <v>10</v>
      </c>
      <c r="F71" s="24">
        <f>ROUND(C71*$B$62,0)</f>
        <v>22</v>
      </c>
      <c r="G71" s="24">
        <f>ROUND(D71*$B$63,0)</f>
        <v>8</v>
      </c>
      <c r="H71" s="14">
        <f>B71*15+F71/4+G71*2*(1+E71/100)</f>
        <v>53.1</v>
      </c>
      <c r="I71" s="24">
        <f>IF(B71&lt;=$B$64,1,0)</f>
        <v>0</v>
      </c>
      <c r="J71" s="24">
        <f>IF(AND(I71=1,H71&lt;=$B$58),1,0)</f>
        <v>0</v>
      </c>
    </row>
    <row r="72" spans="1:10" x14ac:dyDescent="0.45">
      <c r="A72" s="7" t="s">
        <v>583</v>
      </c>
      <c r="B72" s="20">
        <f>SUM(J68:J71)</f>
        <v>2</v>
      </c>
    </row>
    <row r="73" spans="1:10" x14ac:dyDescent="0.45">
      <c r="A73" s="2" t="s">
        <v>584</v>
      </c>
    </row>
    <row r="74" spans="1:10" x14ac:dyDescent="0.45">
      <c r="A74" s="6" t="s">
        <v>519</v>
      </c>
      <c r="B74" s="6" t="s">
        <v>585</v>
      </c>
      <c r="C74" s="6" t="s">
        <v>586</v>
      </c>
      <c r="D74" s="6" t="s">
        <v>587</v>
      </c>
      <c r="E74" s="6" t="s">
        <v>588</v>
      </c>
      <c r="F74" s="6" t="s">
        <v>589</v>
      </c>
      <c r="G74" s="6" t="s">
        <v>590</v>
      </c>
      <c r="H74" s="6" t="s">
        <v>591</v>
      </c>
    </row>
    <row r="75" spans="1:10" x14ac:dyDescent="0.45">
      <c r="A75" s="8" t="s">
        <v>522</v>
      </c>
      <c r="B75" s="10">
        <f>IF($B$72&gt;0,J68/$B$72,0)</f>
        <v>0.5</v>
      </c>
      <c r="C75" s="14">
        <f>IF(J68=1,$B$58-H68,"—")</f>
        <v>7</v>
      </c>
      <c r="D75" s="24">
        <f>IF(AND($B$65&gt;=2,J68=1),SUMPRODUCT((I68:I71=1)*(H68:H71&lt;=($B$58-H68))),0)</f>
        <v>0</v>
      </c>
      <c r="E75" s="10">
        <f>IF(D75&gt;0,IF(AND(I68=1,H68&lt;=($B$58-H68)),1/D75,0),0)</f>
        <v>0</v>
      </c>
      <c r="F75" s="10">
        <f>IF(D75&gt;0,IF(AND(I69=1,H69&lt;=($B$58-H68)),1/D75,0),0)</f>
        <v>0</v>
      </c>
      <c r="G75" s="10">
        <f>IF(D75&gt;0,IF(AND(I70=1,H70&lt;=($B$58-H68)),1/D75,0),0)</f>
        <v>0</v>
      </c>
      <c r="H75" s="10">
        <f>IF(D75&gt;0,IF(AND(I71=1,H71&lt;=($B$58-H68)),1/D75,0),0)</f>
        <v>0</v>
      </c>
    </row>
    <row r="76" spans="1:10" x14ac:dyDescent="0.45">
      <c r="A76" s="8" t="s">
        <v>523</v>
      </c>
      <c r="B76" s="10">
        <f>IF($B$72&gt;0,J69/$B$72,0)</f>
        <v>0</v>
      </c>
      <c r="C76" s="14" t="str">
        <f>IF(J69=1,$B$58-H69,"—")</f>
        <v>—</v>
      </c>
      <c r="D76" s="24">
        <f>IF(AND($B$65&gt;=2,J69=1),SUMPRODUCT((I68:I71=1)*(H68:H71&lt;=($B$58-H69))),0)</f>
        <v>0</v>
      </c>
      <c r="E76" s="10">
        <f>IF(D76&gt;0,IF(AND(I68=1,H68&lt;=($B$58-H69)),1/D76,0),0)</f>
        <v>0</v>
      </c>
      <c r="F76" s="10">
        <f>IF(D76&gt;0,IF(AND(I69=1,H69&lt;=($B$58-H69)),1/D76,0),0)</f>
        <v>0</v>
      </c>
      <c r="G76" s="10">
        <f>IF(D76&gt;0,IF(AND(I70=1,H70&lt;=($B$58-H69)),1/D76,0),0)</f>
        <v>0</v>
      </c>
      <c r="H76" s="10">
        <f>IF(D76&gt;0,IF(AND(I71=1,H71&lt;=($B$58-H69)),1/D76,0),0)</f>
        <v>0</v>
      </c>
    </row>
    <row r="77" spans="1:10" x14ac:dyDescent="0.45">
      <c r="A77" s="8" t="s">
        <v>524</v>
      </c>
      <c r="B77" s="10">
        <f>IF($B$72&gt;0,J70/$B$72,0)</f>
        <v>0.5</v>
      </c>
      <c r="C77" s="14">
        <f>IF(J70=1,$B$58-H70,"—")</f>
        <v>12.100000000000001</v>
      </c>
      <c r="D77" s="24">
        <f>IF(AND($B$65&gt;=2,J70=1),SUMPRODUCT((I68:I71=1)*(H68:H71&lt;=($B$58-H70))),0)</f>
        <v>0</v>
      </c>
      <c r="E77" s="10">
        <f>IF(D77&gt;0,IF(AND(I68=1,H68&lt;=($B$58-H70)),1/D77,0),0)</f>
        <v>0</v>
      </c>
      <c r="F77" s="10">
        <f>IF(D77&gt;0,IF(AND(I69=1,H69&lt;=($B$58-H70)),1/D77,0),0)</f>
        <v>0</v>
      </c>
      <c r="G77" s="10">
        <f>IF(D77&gt;0,IF(AND(I70=1,H70&lt;=($B$58-H70)),1/D77,0),0)</f>
        <v>0</v>
      </c>
      <c r="H77" s="10">
        <f>IF(D77&gt;0,IF(AND(I71=1,H71&lt;=($B$58-H70)),1/D77,0),0)</f>
        <v>0</v>
      </c>
    </row>
    <row r="78" spans="1:10" x14ac:dyDescent="0.45">
      <c r="A78" s="8" t="s">
        <v>525</v>
      </c>
      <c r="B78" s="10">
        <f>IF($B$72&gt;0,J71/$B$72,0)</f>
        <v>0</v>
      </c>
      <c r="C78" s="14" t="str">
        <f>IF(J71=1,$B$58-H71,"—")</f>
        <v>—</v>
      </c>
      <c r="D78" s="24">
        <f>IF(AND($B$65&gt;=2,J71=1),SUMPRODUCT((I68:I71=1)*(H68:H71&lt;=($B$58-H71))),0)</f>
        <v>0</v>
      </c>
      <c r="E78" s="10">
        <f>IF(D78&gt;0,IF(AND(I68=1,H68&lt;=($B$58-H71)),1/D78,0),0)</f>
        <v>0</v>
      </c>
      <c r="F78" s="10">
        <f>IF(D78&gt;0,IF(AND(I69=1,H69&lt;=($B$58-H71)),1/D78,0),0)</f>
        <v>0</v>
      </c>
      <c r="G78" s="10">
        <f>IF(D78&gt;0,IF(AND(I70=1,H70&lt;=($B$58-H71)),1/D78,0),0)</f>
        <v>0</v>
      </c>
      <c r="H78" s="10">
        <f>IF(D78&gt;0,IF(AND(I71=1,H71&lt;=($B$58-H71)),1/D78,0),0)</f>
        <v>0</v>
      </c>
    </row>
    <row r="79" spans="1:10" x14ac:dyDescent="0.45">
      <c r="A79" s="2" t="s">
        <v>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"/>
  <sheetViews>
    <sheetView showGridLines="0" workbookViewId="0"/>
  </sheetViews>
  <sheetFormatPr baseColWidth="10" defaultColWidth="9.06640625" defaultRowHeight="14.25" x14ac:dyDescent="0.45"/>
  <cols>
    <col min="1" max="1" width="30" customWidth="1"/>
    <col min="2" max="5" width="13" customWidth="1"/>
    <col min="6" max="6" width="60" customWidth="1"/>
  </cols>
  <sheetData>
    <row r="1" spans="1:6" ht="17.649999999999999" x14ac:dyDescent="0.5">
      <c r="A1" s="1" t="s">
        <v>593</v>
      </c>
    </row>
    <row r="2" spans="1:6" x14ac:dyDescent="0.45">
      <c r="A2" s="2" t="s">
        <v>594</v>
      </c>
    </row>
    <row r="4" spans="1:6" x14ac:dyDescent="0.45">
      <c r="A4" s="3" t="s">
        <v>595</v>
      </c>
      <c r="B4" s="3"/>
      <c r="C4" s="3"/>
      <c r="D4" s="3"/>
      <c r="E4" s="3"/>
      <c r="F4" s="3"/>
    </row>
    <row r="5" spans="1:6" x14ac:dyDescent="0.45">
      <c r="A5" s="5" t="s">
        <v>596</v>
      </c>
      <c r="B5" s="12">
        <v>7</v>
      </c>
      <c r="C5" s="2" t="s">
        <v>597</v>
      </c>
    </row>
    <row r="6" spans="1:6" x14ac:dyDescent="0.45">
      <c r="A6" s="6" t="s">
        <v>55</v>
      </c>
      <c r="B6" s="6" t="s">
        <v>379</v>
      </c>
      <c r="C6" s="6" t="s">
        <v>598</v>
      </c>
      <c r="D6" s="6" t="s">
        <v>599</v>
      </c>
      <c r="E6" s="6"/>
      <c r="F6" s="6" t="s">
        <v>600</v>
      </c>
    </row>
    <row r="7" spans="1:6" x14ac:dyDescent="0.45">
      <c r="A7" s="7" t="s">
        <v>601</v>
      </c>
      <c r="B7" s="15" t="s">
        <v>602</v>
      </c>
      <c r="C7" s="10">
        <f>1/$B$5</f>
        <v>0.14285714285714285</v>
      </c>
      <c r="D7" s="8" t="s">
        <v>603</v>
      </c>
      <c r="E7" s="8"/>
      <c r="F7" s="15" t="s">
        <v>604</v>
      </c>
    </row>
    <row r="8" spans="1:6" x14ac:dyDescent="0.45">
      <c r="A8" s="8"/>
      <c r="B8" s="15"/>
      <c r="C8" s="10"/>
      <c r="D8" s="8" t="s">
        <v>605</v>
      </c>
      <c r="E8" s="8"/>
      <c r="F8" s="15" t="s">
        <v>606</v>
      </c>
    </row>
    <row r="9" spans="1:6" x14ac:dyDescent="0.45">
      <c r="A9" s="8"/>
      <c r="B9" s="15"/>
      <c r="C9" s="10"/>
      <c r="D9" s="8" t="s">
        <v>607</v>
      </c>
      <c r="E9" s="8"/>
      <c r="F9" s="15" t="s">
        <v>608</v>
      </c>
    </row>
    <row r="10" spans="1:6" x14ac:dyDescent="0.45">
      <c r="A10" s="7" t="s">
        <v>609</v>
      </c>
      <c r="B10" s="15" t="s">
        <v>610</v>
      </c>
      <c r="C10" s="10">
        <f>1/$B$5</f>
        <v>0.14285714285714285</v>
      </c>
      <c r="D10" s="8" t="s">
        <v>611</v>
      </c>
      <c r="E10" s="8"/>
      <c r="F10" s="15" t="s">
        <v>612</v>
      </c>
    </row>
    <row r="11" spans="1:6" x14ac:dyDescent="0.45">
      <c r="A11" s="8"/>
      <c r="B11" s="15"/>
      <c r="C11" s="10"/>
      <c r="D11" s="8" t="s">
        <v>613</v>
      </c>
      <c r="E11" s="8"/>
      <c r="F11" s="15" t="s">
        <v>614</v>
      </c>
    </row>
    <row r="12" spans="1:6" x14ac:dyDescent="0.45">
      <c r="A12" s="8"/>
      <c r="B12" s="15"/>
      <c r="C12" s="10"/>
      <c r="D12" s="8" t="s">
        <v>615</v>
      </c>
      <c r="E12" s="8"/>
      <c r="F12" s="15" t="s">
        <v>616</v>
      </c>
    </row>
    <row r="13" spans="1:6" x14ac:dyDescent="0.45">
      <c r="A13" s="7" t="s">
        <v>617</v>
      </c>
      <c r="B13" s="15" t="s">
        <v>618</v>
      </c>
      <c r="C13" s="10">
        <f>1/$B$5</f>
        <v>0.14285714285714285</v>
      </c>
      <c r="D13" s="8" t="s">
        <v>619</v>
      </c>
      <c r="E13" s="8"/>
      <c r="F13" s="15" t="s">
        <v>620</v>
      </c>
    </row>
    <row r="14" spans="1:6" x14ac:dyDescent="0.45">
      <c r="A14" s="8"/>
      <c r="B14" s="15"/>
      <c r="C14" s="10"/>
      <c r="D14" s="8" t="s">
        <v>621</v>
      </c>
      <c r="E14" s="8"/>
      <c r="F14" s="15" t="s">
        <v>622</v>
      </c>
    </row>
    <row r="15" spans="1:6" x14ac:dyDescent="0.45">
      <c r="A15" s="8"/>
      <c r="B15" s="15"/>
      <c r="C15" s="10"/>
      <c r="D15" s="8" t="s">
        <v>623</v>
      </c>
      <c r="E15" s="8"/>
      <c r="F15" s="15" t="s">
        <v>624</v>
      </c>
    </row>
    <row r="16" spans="1:6" x14ac:dyDescent="0.45">
      <c r="A16" s="7" t="s">
        <v>625</v>
      </c>
      <c r="B16" s="15" t="s">
        <v>626</v>
      </c>
      <c r="C16" s="10">
        <f>1/$B$5</f>
        <v>0.14285714285714285</v>
      </c>
      <c r="D16" s="8" t="s">
        <v>627</v>
      </c>
      <c r="E16" s="8"/>
      <c r="F16" s="15" t="s">
        <v>628</v>
      </c>
    </row>
    <row r="17" spans="1:6" x14ac:dyDescent="0.45">
      <c r="A17" s="8"/>
      <c r="B17" s="15"/>
      <c r="C17" s="10"/>
      <c r="D17" s="8" t="s">
        <v>629</v>
      </c>
      <c r="E17" s="8"/>
      <c r="F17" s="15" t="s">
        <v>630</v>
      </c>
    </row>
    <row r="18" spans="1:6" x14ac:dyDescent="0.45">
      <c r="A18" s="8"/>
      <c r="B18" s="15"/>
      <c r="C18" s="10"/>
      <c r="D18" s="8" t="s">
        <v>631</v>
      </c>
      <c r="E18" s="8"/>
      <c r="F18" s="15" t="s">
        <v>632</v>
      </c>
    </row>
    <row r="19" spans="1:6" x14ac:dyDescent="0.45">
      <c r="A19" s="7" t="s">
        <v>633</v>
      </c>
      <c r="B19" s="15" t="s">
        <v>634</v>
      </c>
      <c r="C19" s="10">
        <f>1/$B$5</f>
        <v>0.14285714285714285</v>
      </c>
      <c r="D19" s="8" t="s">
        <v>635</v>
      </c>
      <c r="E19" s="8"/>
      <c r="F19" s="15" t="s">
        <v>636</v>
      </c>
    </row>
    <row r="20" spans="1:6" x14ac:dyDescent="0.45">
      <c r="A20" s="8"/>
      <c r="B20" s="15"/>
      <c r="C20" s="10"/>
      <c r="D20" s="8" t="s">
        <v>637</v>
      </c>
      <c r="E20" s="8"/>
      <c r="F20" s="15" t="s">
        <v>638</v>
      </c>
    </row>
    <row r="21" spans="1:6" x14ac:dyDescent="0.45">
      <c r="A21" s="8"/>
      <c r="B21" s="15"/>
      <c r="C21" s="10"/>
      <c r="D21" s="8" t="s">
        <v>639</v>
      </c>
      <c r="E21" s="8"/>
      <c r="F21" s="15" t="s">
        <v>640</v>
      </c>
    </row>
    <row r="22" spans="1:6" x14ac:dyDescent="0.45">
      <c r="A22" s="7" t="s">
        <v>641</v>
      </c>
      <c r="B22" s="15" t="s">
        <v>642</v>
      </c>
      <c r="C22" s="10">
        <f>1/$B$5</f>
        <v>0.14285714285714285</v>
      </c>
      <c r="D22" s="8" t="s">
        <v>643</v>
      </c>
      <c r="E22" s="8"/>
      <c r="F22" s="15" t="s">
        <v>644</v>
      </c>
    </row>
    <row r="23" spans="1:6" x14ac:dyDescent="0.45">
      <c r="A23" s="8"/>
      <c r="B23" s="15"/>
      <c r="C23" s="10"/>
      <c r="D23" s="8" t="s">
        <v>645</v>
      </c>
      <c r="E23" s="8"/>
      <c r="F23" s="15" t="s">
        <v>646</v>
      </c>
    </row>
    <row r="24" spans="1:6" x14ac:dyDescent="0.45">
      <c r="A24" s="8"/>
      <c r="B24" s="15"/>
      <c r="C24" s="10"/>
      <c r="D24" s="8" t="s">
        <v>647</v>
      </c>
      <c r="E24" s="8"/>
      <c r="F24" s="15" t="s">
        <v>640</v>
      </c>
    </row>
    <row r="25" spans="1:6" x14ac:dyDescent="0.45">
      <c r="A25" s="7" t="s">
        <v>648</v>
      </c>
      <c r="B25" s="15" t="s">
        <v>649</v>
      </c>
      <c r="C25" s="10">
        <f>1/$B$5</f>
        <v>0.14285714285714285</v>
      </c>
      <c r="D25" s="8" t="s">
        <v>650</v>
      </c>
      <c r="E25" s="8"/>
      <c r="F25" s="15" t="s">
        <v>651</v>
      </c>
    </row>
    <row r="26" spans="1:6" x14ac:dyDescent="0.45">
      <c r="A26" s="8"/>
      <c r="B26" s="15"/>
      <c r="C26" s="10"/>
      <c r="D26" s="8" t="s">
        <v>647</v>
      </c>
      <c r="E26" s="8"/>
      <c r="F26" s="15" t="s">
        <v>640</v>
      </c>
    </row>
    <row r="27" spans="1:6" x14ac:dyDescent="0.45">
      <c r="A27" s="2" t="s">
        <v>652</v>
      </c>
    </row>
    <row r="29" spans="1:6" x14ac:dyDescent="0.45">
      <c r="A29" s="3" t="s">
        <v>653</v>
      </c>
      <c r="B29" s="3"/>
      <c r="C29" s="3"/>
      <c r="D29" s="3"/>
      <c r="E29" s="3"/>
      <c r="F29" s="3"/>
    </row>
    <row r="30" spans="1:6" x14ac:dyDescent="0.45">
      <c r="A30" s="6" t="s">
        <v>654</v>
      </c>
      <c r="B30" s="6" t="s">
        <v>655</v>
      </c>
      <c r="C30" s="6" t="s">
        <v>656</v>
      </c>
      <c r="D30" s="6" t="s">
        <v>657</v>
      </c>
    </row>
    <row r="31" spans="1:6" x14ac:dyDescent="0.45">
      <c r="A31" s="12">
        <v>1</v>
      </c>
      <c r="B31" s="10">
        <f t="shared" ref="B31:B45" si="0">1-(1-1/$B$5)^A31</f>
        <v>0.14285714285714279</v>
      </c>
      <c r="C31" s="10">
        <f t="shared" ref="C31:C45" si="1">IF(A31&gt;$B$5,0,FACT($B$5)/FACT($B$5-A31)/$B$5^A31)</f>
        <v>1</v>
      </c>
      <c r="D31" s="10">
        <f t="shared" ref="D31:D45" si="2">1-(1-2/$B$5)^A31</f>
        <v>0.2857142857142857</v>
      </c>
    </row>
    <row r="32" spans="1:6" x14ac:dyDescent="0.45">
      <c r="A32" s="12">
        <v>2</v>
      </c>
      <c r="B32" s="10">
        <f t="shared" si="0"/>
        <v>0.26530612244897944</v>
      </c>
      <c r="C32" s="10">
        <f t="shared" si="1"/>
        <v>0.8571428571428571</v>
      </c>
      <c r="D32" s="10">
        <f t="shared" si="2"/>
        <v>0.48979591836734693</v>
      </c>
    </row>
    <row r="33" spans="1:6" x14ac:dyDescent="0.45">
      <c r="A33" s="12">
        <v>3</v>
      </c>
      <c r="B33" s="10">
        <f t="shared" si="0"/>
        <v>0.37026239067055378</v>
      </c>
      <c r="C33" s="10">
        <f t="shared" si="1"/>
        <v>0.61224489795918369</v>
      </c>
      <c r="D33" s="10">
        <f t="shared" si="2"/>
        <v>0.63556851311953344</v>
      </c>
    </row>
    <row r="34" spans="1:6" x14ac:dyDescent="0.45">
      <c r="A34" s="12">
        <v>4</v>
      </c>
      <c r="B34" s="10">
        <f t="shared" si="0"/>
        <v>0.460224906289046</v>
      </c>
      <c r="C34" s="10">
        <f t="shared" si="1"/>
        <v>0.3498542274052478</v>
      </c>
      <c r="D34" s="10">
        <f t="shared" si="2"/>
        <v>0.73969179508538108</v>
      </c>
    </row>
    <row r="35" spans="1:6" x14ac:dyDescent="0.45">
      <c r="A35" s="12">
        <v>5</v>
      </c>
      <c r="B35" s="10">
        <f t="shared" si="0"/>
        <v>0.53733563396203943</v>
      </c>
      <c r="C35" s="10">
        <f t="shared" si="1"/>
        <v>0.1499375260308205</v>
      </c>
      <c r="D35" s="10">
        <f t="shared" si="2"/>
        <v>0.81406556791812934</v>
      </c>
    </row>
    <row r="36" spans="1:6" x14ac:dyDescent="0.45">
      <c r="A36" s="12">
        <v>6</v>
      </c>
      <c r="B36" s="10">
        <f t="shared" si="0"/>
        <v>0.60343054339603364</v>
      </c>
      <c r="C36" s="10">
        <f t="shared" si="1"/>
        <v>4.2839293151662995E-2</v>
      </c>
      <c r="D36" s="10">
        <f t="shared" si="2"/>
        <v>0.86718969137009239</v>
      </c>
    </row>
    <row r="37" spans="1:6" x14ac:dyDescent="0.45">
      <c r="A37" s="12">
        <v>7</v>
      </c>
      <c r="B37" s="10">
        <f t="shared" si="0"/>
        <v>0.66008332291088601</v>
      </c>
      <c r="C37" s="10">
        <f t="shared" si="1"/>
        <v>6.1198990216661427E-3</v>
      </c>
      <c r="D37" s="10">
        <f t="shared" si="2"/>
        <v>0.90513549383578029</v>
      </c>
    </row>
    <row r="38" spans="1:6" x14ac:dyDescent="0.45">
      <c r="A38" s="12">
        <v>8</v>
      </c>
      <c r="B38" s="10">
        <f t="shared" si="0"/>
        <v>0.70864284820933077</v>
      </c>
      <c r="C38" s="10">
        <f t="shared" si="1"/>
        <v>0</v>
      </c>
      <c r="D38" s="10">
        <f t="shared" si="2"/>
        <v>0.93223963845412872</v>
      </c>
    </row>
    <row r="39" spans="1:6" x14ac:dyDescent="0.45">
      <c r="A39" s="12">
        <v>9</v>
      </c>
      <c r="B39" s="10">
        <f t="shared" si="0"/>
        <v>0.75026529846514067</v>
      </c>
      <c r="C39" s="10">
        <f t="shared" si="1"/>
        <v>0</v>
      </c>
      <c r="D39" s="10">
        <f t="shared" si="2"/>
        <v>0.95159974175294915</v>
      </c>
    </row>
    <row r="40" spans="1:6" x14ac:dyDescent="0.45">
      <c r="A40" s="12">
        <v>10</v>
      </c>
      <c r="B40" s="10">
        <f t="shared" si="0"/>
        <v>0.78594168439869194</v>
      </c>
      <c r="C40" s="10">
        <f t="shared" si="1"/>
        <v>0</v>
      </c>
      <c r="D40" s="10">
        <f t="shared" si="2"/>
        <v>0.96542838696639222</v>
      </c>
    </row>
    <row r="41" spans="1:6" x14ac:dyDescent="0.45">
      <c r="A41" s="12">
        <v>11</v>
      </c>
      <c r="B41" s="10">
        <f t="shared" si="0"/>
        <v>0.81652144377030744</v>
      </c>
      <c r="C41" s="10">
        <f t="shared" si="1"/>
        <v>0</v>
      </c>
      <c r="D41" s="10">
        <f t="shared" si="2"/>
        <v>0.97530599069028012</v>
      </c>
    </row>
    <row r="42" spans="1:6" x14ac:dyDescent="0.45">
      <c r="A42" s="12">
        <v>12</v>
      </c>
      <c r="B42" s="10">
        <f t="shared" si="0"/>
        <v>0.8427326660888349</v>
      </c>
      <c r="C42" s="10">
        <f t="shared" si="1"/>
        <v>0</v>
      </c>
      <c r="D42" s="10">
        <f t="shared" si="2"/>
        <v>0.98236142192162867</v>
      </c>
    </row>
    <row r="43" spans="1:6" x14ac:dyDescent="0.45">
      <c r="A43" s="12">
        <v>13</v>
      </c>
      <c r="B43" s="10">
        <f t="shared" si="0"/>
        <v>0.86519942807614414</v>
      </c>
      <c r="C43" s="10">
        <f t="shared" si="1"/>
        <v>0</v>
      </c>
      <c r="D43" s="10">
        <f t="shared" si="2"/>
        <v>0.98740101565830618</v>
      </c>
    </row>
    <row r="44" spans="1:6" x14ac:dyDescent="0.45">
      <c r="A44" s="12">
        <v>14</v>
      </c>
      <c r="B44" s="10">
        <f t="shared" si="0"/>
        <v>0.88445665263669504</v>
      </c>
      <c r="C44" s="10">
        <f t="shared" si="1"/>
        <v>0</v>
      </c>
      <c r="D44" s="10">
        <f t="shared" si="2"/>
        <v>0.99100072547021867</v>
      </c>
    </row>
    <row r="45" spans="1:6" x14ac:dyDescent="0.45">
      <c r="A45" s="12">
        <v>15</v>
      </c>
      <c r="B45" s="10">
        <f t="shared" si="0"/>
        <v>0.90096284511716718</v>
      </c>
      <c r="C45" s="10">
        <f t="shared" si="1"/>
        <v>0</v>
      </c>
      <c r="D45" s="10">
        <f t="shared" si="2"/>
        <v>0.99357194676444194</v>
      </c>
    </row>
    <row r="46" spans="1:6" x14ac:dyDescent="0.45">
      <c r="A46" s="2" t="s">
        <v>658</v>
      </c>
    </row>
    <row r="48" spans="1:6" x14ac:dyDescent="0.45">
      <c r="A48" s="3" t="s">
        <v>659</v>
      </c>
      <c r="B48" s="3"/>
      <c r="C48" s="3"/>
      <c r="D48" s="3"/>
      <c r="E48" s="3"/>
      <c r="F48" s="3"/>
    </row>
    <row r="49" spans="1:2" x14ac:dyDescent="0.45">
      <c r="A49" s="8" t="s">
        <v>660</v>
      </c>
      <c r="B49" s="8" t="s">
        <v>661</v>
      </c>
    </row>
    <row r="50" spans="1:2" x14ac:dyDescent="0.45">
      <c r="A50" s="8" t="s">
        <v>662</v>
      </c>
      <c r="B50" s="8" t="s">
        <v>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2"/>
  <sheetViews>
    <sheetView showGridLines="0" workbookViewId="0"/>
  </sheetViews>
  <sheetFormatPr baseColWidth="10" defaultColWidth="9.06640625" defaultRowHeight="14.25" x14ac:dyDescent="0.45"/>
  <cols>
    <col min="1" max="1" width="30" customWidth="1"/>
    <col min="2" max="9" width="12" customWidth="1"/>
    <col min="10" max="10" width="40" customWidth="1"/>
  </cols>
  <sheetData>
    <row r="1" spans="1:10" ht="17.649999999999999" x14ac:dyDescent="0.5">
      <c r="A1" s="1" t="s">
        <v>664</v>
      </c>
    </row>
    <row r="2" spans="1:10" x14ac:dyDescent="0.45">
      <c r="A2" s="2" t="s">
        <v>665</v>
      </c>
    </row>
    <row r="4" spans="1:10" x14ac:dyDescent="0.45">
      <c r="A4" s="3" t="s">
        <v>666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45">
      <c r="A5" s="5" t="s">
        <v>667</v>
      </c>
      <c r="B5" s="12">
        <v>5</v>
      </c>
      <c r="C5" s="2" t="s">
        <v>668</v>
      </c>
    </row>
    <row r="6" spans="1:10" x14ac:dyDescent="0.45">
      <c r="A6" s="5" t="s">
        <v>669</v>
      </c>
      <c r="B6" s="12">
        <v>10</v>
      </c>
      <c r="C6" s="2" t="s">
        <v>670</v>
      </c>
    </row>
    <row r="7" spans="1:10" x14ac:dyDescent="0.45">
      <c r="A7" s="5" t="s">
        <v>671</v>
      </c>
      <c r="B7" s="22">
        <v>7</v>
      </c>
      <c r="C7" s="2" t="s">
        <v>672</v>
      </c>
    </row>
    <row r="8" spans="1:10" x14ac:dyDescent="0.45">
      <c r="A8" s="5" t="s">
        <v>673</v>
      </c>
      <c r="B8" s="22">
        <v>1</v>
      </c>
    </row>
    <row r="10" spans="1:10" x14ac:dyDescent="0.45">
      <c r="A10" s="3" t="s">
        <v>674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45">
      <c r="A11" s="6" t="s">
        <v>675</v>
      </c>
      <c r="B11" s="6" t="s">
        <v>676</v>
      </c>
      <c r="C11" s="6" t="s">
        <v>677</v>
      </c>
      <c r="D11" s="6" t="s">
        <v>678</v>
      </c>
      <c r="E11" s="6" t="s">
        <v>679</v>
      </c>
      <c r="F11" s="6" t="s">
        <v>680</v>
      </c>
      <c r="G11" s="6" t="s">
        <v>681</v>
      </c>
    </row>
    <row r="12" spans="1:10" x14ac:dyDescent="0.45">
      <c r="A12" s="12">
        <v>7</v>
      </c>
      <c r="B12" s="10">
        <f t="shared" ref="B12:B38" si="0">IF(A12-1&lt;$B$5,1,1-COMBIN(A12-1,$B$5)/COMBIN(A12,$B$5))</f>
        <v>0.7142857142857143</v>
      </c>
      <c r="C12" s="10">
        <f t="shared" ref="C12:C38" si="1">IF(A12-2&lt;$B$5,1,1-COMBIN(A12-2,$B$5)/COMBIN(A12,$B$5))</f>
        <v>0.95238095238095233</v>
      </c>
      <c r="D12" s="10">
        <f t="shared" ref="D12:D38" si="2">IF(A12-3&lt;$B$5,1,1-COMBIN(A12-3,$B$5)/COMBIN(A12,$B$5))</f>
        <v>1</v>
      </c>
      <c r="E12" s="10">
        <f t="shared" ref="E12:E38" si="3">IF(A12-4&lt;$B$5,1,1-COMBIN(A12-4,$B$5)/COMBIN(A12,$B$5))</f>
        <v>1</v>
      </c>
      <c r="F12" s="24">
        <f t="shared" ref="F12:F38" si="4">CEILING(A12/$B$5,1)</f>
        <v>2</v>
      </c>
      <c r="G12" s="24">
        <f t="shared" ref="G12:G38" si="5">CEILING(A12/($B$5+1),1)</f>
        <v>2</v>
      </c>
    </row>
    <row r="13" spans="1:10" x14ac:dyDescent="0.45">
      <c r="A13" s="12">
        <v>8</v>
      </c>
      <c r="B13" s="10">
        <f t="shared" si="0"/>
        <v>0.625</v>
      </c>
      <c r="C13" s="10">
        <f t="shared" si="1"/>
        <v>0.8928571428571429</v>
      </c>
      <c r="D13" s="10">
        <f t="shared" si="2"/>
        <v>0.9821428571428571</v>
      </c>
      <c r="E13" s="10">
        <f t="shared" si="3"/>
        <v>1</v>
      </c>
      <c r="F13" s="24">
        <f t="shared" si="4"/>
        <v>2</v>
      </c>
      <c r="G13" s="24">
        <f t="shared" si="5"/>
        <v>2</v>
      </c>
    </row>
    <row r="14" spans="1:10" x14ac:dyDescent="0.45">
      <c r="A14" s="12">
        <v>9</v>
      </c>
      <c r="B14" s="10">
        <f t="shared" si="0"/>
        <v>0.55555555555555558</v>
      </c>
      <c r="C14" s="10">
        <f t="shared" si="1"/>
        <v>0.83333333333333337</v>
      </c>
      <c r="D14" s="10">
        <f t="shared" si="2"/>
        <v>0.95238095238095233</v>
      </c>
      <c r="E14" s="10">
        <f t="shared" si="3"/>
        <v>0.99206349206349209</v>
      </c>
      <c r="F14" s="24">
        <f t="shared" si="4"/>
        <v>2</v>
      </c>
      <c r="G14" s="24">
        <f t="shared" si="5"/>
        <v>2</v>
      </c>
    </row>
    <row r="15" spans="1:10" x14ac:dyDescent="0.45">
      <c r="A15" s="12">
        <v>10</v>
      </c>
      <c r="B15" s="10">
        <f t="shared" si="0"/>
        <v>0.5</v>
      </c>
      <c r="C15" s="10">
        <f t="shared" si="1"/>
        <v>0.77777777777777779</v>
      </c>
      <c r="D15" s="10">
        <f t="shared" si="2"/>
        <v>0.91666666666666663</v>
      </c>
      <c r="E15" s="10">
        <f t="shared" si="3"/>
        <v>0.97619047619047616</v>
      </c>
      <c r="F15" s="24">
        <f t="shared" si="4"/>
        <v>2</v>
      </c>
      <c r="G15" s="24">
        <f t="shared" si="5"/>
        <v>2</v>
      </c>
    </row>
    <row r="16" spans="1:10" x14ac:dyDescent="0.45">
      <c r="A16" s="12">
        <v>11</v>
      </c>
      <c r="B16" s="10">
        <f t="shared" si="0"/>
        <v>0.45454545454545447</v>
      </c>
      <c r="C16" s="10">
        <f t="shared" si="1"/>
        <v>0.72727272727272729</v>
      </c>
      <c r="D16" s="10">
        <f t="shared" si="2"/>
        <v>0.87878787878787878</v>
      </c>
      <c r="E16" s="10">
        <f t="shared" si="3"/>
        <v>0.95454545454545459</v>
      </c>
      <c r="F16" s="24">
        <f t="shared" si="4"/>
        <v>3</v>
      </c>
      <c r="G16" s="24">
        <f t="shared" si="5"/>
        <v>2</v>
      </c>
    </row>
    <row r="17" spans="1:7" x14ac:dyDescent="0.45">
      <c r="A17" s="12">
        <v>12</v>
      </c>
      <c r="B17" s="10">
        <f t="shared" si="0"/>
        <v>0.41666666666666674</v>
      </c>
      <c r="C17" s="10">
        <f t="shared" si="1"/>
        <v>0.68181818181818188</v>
      </c>
      <c r="D17" s="10">
        <f t="shared" si="2"/>
        <v>0.84090909090909094</v>
      </c>
      <c r="E17" s="10">
        <f t="shared" si="3"/>
        <v>0.92929292929292928</v>
      </c>
      <c r="F17" s="24">
        <f t="shared" si="4"/>
        <v>3</v>
      </c>
      <c r="G17" s="24">
        <f t="shared" si="5"/>
        <v>2</v>
      </c>
    </row>
    <row r="18" spans="1:7" x14ac:dyDescent="0.45">
      <c r="A18" s="12">
        <v>13</v>
      </c>
      <c r="B18" s="10">
        <f t="shared" si="0"/>
        <v>0.38461538461538458</v>
      </c>
      <c r="C18" s="10">
        <f t="shared" si="1"/>
        <v>0.64102564102564108</v>
      </c>
      <c r="D18" s="10">
        <f t="shared" si="2"/>
        <v>0.80419580419580416</v>
      </c>
      <c r="E18" s="10">
        <f t="shared" si="3"/>
        <v>0.90209790209790208</v>
      </c>
      <c r="F18" s="24">
        <f t="shared" si="4"/>
        <v>3</v>
      </c>
      <c r="G18" s="24">
        <f t="shared" si="5"/>
        <v>3</v>
      </c>
    </row>
    <row r="19" spans="1:7" x14ac:dyDescent="0.45">
      <c r="A19" s="12">
        <v>14</v>
      </c>
      <c r="B19" s="10">
        <f t="shared" si="0"/>
        <v>0.3571428571428571</v>
      </c>
      <c r="C19" s="10">
        <f t="shared" si="1"/>
        <v>0.60439560439560447</v>
      </c>
      <c r="D19" s="10">
        <f t="shared" si="2"/>
        <v>0.76923076923076927</v>
      </c>
      <c r="E19" s="10">
        <f t="shared" si="3"/>
        <v>0.87412587412587417</v>
      </c>
      <c r="F19" s="24">
        <f t="shared" si="4"/>
        <v>3</v>
      </c>
      <c r="G19" s="24">
        <f t="shared" si="5"/>
        <v>3</v>
      </c>
    </row>
    <row r="20" spans="1:7" x14ac:dyDescent="0.45">
      <c r="A20" s="12">
        <v>15</v>
      </c>
      <c r="B20" s="10">
        <f t="shared" si="0"/>
        <v>0.33333333333333337</v>
      </c>
      <c r="C20" s="10">
        <f t="shared" si="1"/>
        <v>0.5714285714285714</v>
      </c>
      <c r="D20" s="10">
        <f t="shared" si="2"/>
        <v>0.73626373626373631</v>
      </c>
      <c r="E20" s="10">
        <f t="shared" si="3"/>
        <v>0.84615384615384615</v>
      </c>
      <c r="F20" s="24">
        <f t="shared" si="4"/>
        <v>3</v>
      </c>
      <c r="G20" s="24">
        <f t="shared" si="5"/>
        <v>3</v>
      </c>
    </row>
    <row r="21" spans="1:7" x14ac:dyDescent="0.45">
      <c r="A21" s="12">
        <v>16</v>
      </c>
      <c r="B21" s="10">
        <f t="shared" si="0"/>
        <v>0.3125</v>
      </c>
      <c r="C21" s="10">
        <f t="shared" si="1"/>
        <v>0.54166666666666674</v>
      </c>
      <c r="D21" s="10">
        <f t="shared" si="2"/>
        <v>0.70535714285714279</v>
      </c>
      <c r="E21" s="10">
        <f t="shared" si="3"/>
        <v>0.81868131868131866</v>
      </c>
      <c r="F21" s="24">
        <f t="shared" si="4"/>
        <v>4</v>
      </c>
      <c r="G21" s="24">
        <f t="shared" si="5"/>
        <v>3</v>
      </c>
    </row>
    <row r="22" spans="1:7" x14ac:dyDescent="0.45">
      <c r="A22" s="12">
        <v>17</v>
      </c>
      <c r="B22" s="10">
        <f t="shared" si="0"/>
        <v>0.29411764705882359</v>
      </c>
      <c r="C22" s="10">
        <f t="shared" si="1"/>
        <v>0.51470588235294124</v>
      </c>
      <c r="D22" s="10">
        <f t="shared" si="2"/>
        <v>0.67647058823529416</v>
      </c>
      <c r="E22" s="10">
        <f t="shared" si="3"/>
        <v>0.79201680672268915</v>
      </c>
      <c r="F22" s="24">
        <f t="shared" si="4"/>
        <v>4</v>
      </c>
      <c r="G22" s="24">
        <f t="shared" si="5"/>
        <v>3</v>
      </c>
    </row>
    <row r="23" spans="1:7" x14ac:dyDescent="0.45">
      <c r="A23" s="12">
        <v>18</v>
      </c>
      <c r="B23" s="10">
        <f t="shared" si="0"/>
        <v>0.27777777777777768</v>
      </c>
      <c r="C23" s="10">
        <f t="shared" si="1"/>
        <v>0.49019607843137258</v>
      </c>
      <c r="D23" s="10">
        <f t="shared" si="2"/>
        <v>0.64950980392156865</v>
      </c>
      <c r="E23" s="10">
        <f t="shared" si="3"/>
        <v>0.76633986928104569</v>
      </c>
      <c r="F23" s="24">
        <f t="shared" si="4"/>
        <v>4</v>
      </c>
      <c r="G23" s="24">
        <f t="shared" si="5"/>
        <v>3</v>
      </c>
    </row>
    <row r="24" spans="1:7" x14ac:dyDescent="0.45">
      <c r="A24" s="12">
        <v>19</v>
      </c>
      <c r="B24" s="10">
        <f t="shared" si="0"/>
        <v>0.26315789473684215</v>
      </c>
      <c r="C24" s="10">
        <f t="shared" si="1"/>
        <v>0.46783625730994149</v>
      </c>
      <c r="D24" s="10">
        <f t="shared" si="2"/>
        <v>0.62435500515995868</v>
      </c>
      <c r="E24" s="10">
        <f t="shared" si="3"/>
        <v>0.74174406604747167</v>
      </c>
      <c r="F24" s="24">
        <f t="shared" si="4"/>
        <v>4</v>
      </c>
      <c r="G24" s="24">
        <f t="shared" si="5"/>
        <v>4</v>
      </c>
    </row>
    <row r="25" spans="1:7" x14ac:dyDescent="0.45">
      <c r="A25" s="12">
        <v>20</v>
      </c>
      <c r="B25" s="10">
        <f t="shared" si="0"/>
        <v>0.24999999999999989</v>
      </c>
      <c r="C25" s="10">
        <f t="shared" si="1"/>
        <v>0.44736842105263153</v>
      </c>
      <c r="D25" s="10">
        <f t="shared" si="2"/>
        <v>0.60087719298245601</v>
      </c>
      <c r="E25" s="10">
        <f t="shared" si="3"/>
        <v>0.71826625386996901</v>
      </c>
      <c r="F25" s="24">
        <f t="shared" si="4"/>
        <v>4</v>
      </c>
      <c r="G25" s="24">
        <f t="shared" si="5"/>
        <v>4</v>
      </c>
    </row>
    <row r="26" spans="1:7" x14ac:dyDescent="0.45">
      <c r="A26" s="12">
        <v>21</v>
      </c>
      <c r="B26" s="10">
        <f t="shared" si="0"/>
        <v>0.23809523809523814</v>
      </c>
      <c r="C26" s="10">
        <f t="shared" si="1"/>
        <v>0.4285714285714286</v>
      </c>
      <c r="D26" s="10">
        <f t="shared" si="2"/>
        <v>0.57894736842105265</v>
      </c>
      <c r="E26" s="10">
        <f t="shared" si="3"/>
        <v>0.69590643274853803</v>
      </c>
      <c r="F26" s="24">
        <f t="shared" si="4"/>
        <v>5</v>
      </c>
      <c r="G26" s="24">
        <f t="shared" si="5"/>
        <v>4</v>
      </c>
    </row>
    <row r="27" spans="1:7" x14ac:dyDescent="0.45">
      <c r="A27" s="12">
        <v>22</v>
      </c>
      <c r="B27" s="10">
        <f t="shared" si="0"/>
        <v>0.22727272727272729</v>
      </c>
      <c r="C27" s="10">
        <f t="shared" si="1"/>
        <v>0.41125541125541132</v>
      </c>
      <c r="D27" s="10">
        <f t="shared" si="2"/>
        <v>0.55844155844155852</v>
      </c>
      <c r="E27" s="10">
        <f t="shared" si="3"/>
        <v>0.67464114832535893</v>
      </c>
      <c r="F27" s="24">
        <f t="shared" si="4"/>
        <v>5</v>
      </c>
      <c r="G27" s="24">
        <f t="shared" si="5"/>
        <v>4</v>
      </c>
    </row>
    <row r="28" spans="1:7" x14ac:dyDescent="0.45">
      <c r="A28" s="12">
        <v>23</v>
      </c>
      <c r="B28" s="10">
        <f t="shared" si="0"/>
        <v>0.21739130434782628</v>
      </c>
      <c r="C28" s="10">
        <f t="shared" si="1"/>
        <v>0.39525691699604759</v>
      </c>
      <c r="D28" s="10">
        <f t="shared" si="2"/>
        <v>0.53924336533032202</v>
      </c>
      <c r="E28" s="10">
        <f t="shared" si="3"/>
        <v>0.65443252399774154</v>
      </c>
      <c r="F28" s="24">
        <f t="shared" si="4"/>
        <v>5</v>
      </c>
      <c r="G28" s="24">
        <f t="shared" si="5"/>
        <v>4</v>
      </c>
    </row>
    <row r="29" spans="1:7" x14ac:dyDescent="0.45">
      <c r="A29" s="12">
        <v>24</v>
      </c>
      <c r="B29" s="10">
        <f t="shared" si="0"/>
        <v>0.20833333333333304</v>
      </c>
      <c r="C29" s="10">
        <f t="shared" si="1"/>
        <v>0.38043478260869557</v>
      </c>
      <c r="D29" s="10">
        <f t="shared" si="2"/>
        <v>0.52124505928853748</v>
      </c>
      <c r="E29" s="10">
        <f t="shared" si="3"/>
        <v>0.63523433088650472</v>
      </c>
      <c r="F29" s="24">
        <f t="shared" si="4"/>
        <v>5</v>
      </c>
      <c r="G29" s="24">
        <f t="shared" si="5"/>
        <v>4</v>
      </c>
    </row>
    <row r="30" spans="1:7" x14ac:dyDescent="0.45">
      <c r="A30" s="12">
        <v>25</v>
      </c>
      <c r="B30" s="10">
        <f t="shared" si="0"/>
        <v>0.20000000000000007</v>
      </c>
      <c r="C30" s="10">
        <f t="shared" si="1"/>
        <v>0.36666666666666647</v>
      </c>
      <c r="D30" s="10">
        <f t="shared" si="2"/>
        <v>0.5043478260869565</v>
      </c>
      <c r="E30" s="10">
        <f t="shared" si="3"/>
        <v>0.61699604743083003</v>
      </c>
      <c r="F30" s="24">
        <f t="shared" si="4"/>
        <v>5</v>
      </c>
      <c r="G30" s="24">
        <f t="shared" si="5"/>
        <v>5</v>
      </c>
    </row>
    <row r="31" spans="1:7" x14ac:dyDescent="0.45">
      <c r="A31" s="12">
        <v>26</v>
      </c>
      <c r="B31" s="10">
        <f t="shared" si="0"/>
        <v>0.19230769230769262</v>
      </c>
      <c r="C31" s="10">
        <f t="shared" si="1"/>
        <v>0.35384615384615414</v>
      </c>
      <c r="D31" s="10">
        <f t="shared" si="2"/>
        <v>0.4884615384615385</v>
      </c>
      <c r="E31" s="10">
        <f t="shared" si="3"/>
        <v>0.59966555183946491</v>
      </c>
      <c r="F31" s="24">
        <f t="shared" si="4"/>
        <v>6</v>
      </c>
      <c r="G31" s="24">
        <f t="shared" si="5"/>
        <v>5</v>
      </c>
    </row>
    <row r="32" spans="1:7" x14ac:dyDescent="0.45">
      <c r="A32" s="12">
        <v>27</v>
      </c>
      <c r="B32" s="10">
        <f t="shared" si="0"/>
        <v>0.18518518518518501</v>
      </c>
      <c r="C32" s="10">
        <f t="shared" si="1"/>
        <v>0.341880341880342</v>
      </c>
      <c r="D32" s="10">
        <f t="shared" si="2"/>
        <v>0.4735042735042736</v>
      </c>
      <c r="E32" s="10">
        <f t="shared" si="3"/>
        <v>0.58319088319088308</v>
      </c>
      <c r="F32" s="24">
        <f t="shared" si="4"/>
        <v>6</v>
      </c>
      <c r="G32" s="24">
        <f t="shared" si="5"/>
        <v>5</v>
      </c>
    </row>
    <row r="33" spans="1:10" x14ac:dyDescent="0.45">
      <c r="A33" s="12">
        <v>28</v>
      </c>
      <c r="B33" s="10">
        <f t="shared" si="0"/>
        <v>0.17857142857142871</v>
      </c>
      <c r="C33" s="10">
        <f t="shared" si="1"/>
        <v>0.33068783068783059</v>
      </c>
      <c r="D33" s="10">
        <f t="shared" si="2"/>
        <v>0.45940170940170955</v>
      </c>
      <c r="E33" s="10">
        <f t="shared" si="3"/>
        <v>0.56752136752136773</v>
      </c>
      <c r="F33" s="24">
        <f t="shared" si="4"/>
        <v>6</v>
      </c>
      <c r="G33" s="24">
        <f t="shared" si="5"/>
        <v>5</v>
      </c>
    </row>
    <row r="34" spans="1:10" x14ac:dyDescent="0.45">
      <c r="A34" s="12">
        <v>29</v>
      </c>
      <c r="B34" s="10">
        <f t="shared" si="0"/>
        <v>0.17241379310344807</v>
      </c>
      <c r="C34" s="10">
        <f t="shared" si="1"/>
        <v>0.32019704433497531</v>
      </c>
      <c r="D34" s="10">
        <f t="shared" si="2"/>
        <v>0.44608648056923905</v>
      </c>
      <c r="E34" s="10">
        <f t="shared" si="3"/>
        <v>0.55260831122900089</v>
      </c>
      <c r="F34" s="24">
        <f t="shared" si="4"/>
        <v>6</v>
      </c>
      <c r="G34" s="24">
        <f t="shared" si="5"/>
        <v>5</v>
      </c>
    </row>
    <row r="35" spans="1:10" x14ac:dyDescent="0.45">
      <c r="A35" s="12">
        <v>30</v>
      </c>
      <c r="B35" s="10">
        <f t="shared" si="0"/>
        <v>0.16666666666666674</v>
      </c>
      <c r="C35" s="10">
        <f t="shared" si="1"/>
        <v>0.31034482758620674</v>
      </c>
      <c r="D35" s="10">
        <f t="shared" si="2"/>
        <v>0.43349753694581283</v>
      </c>
      <c r="E35" s="10">
        <f t="shared" si="3"/>
        <v>0.53840540047436591</v>
      </c>
      <c r="F35" s="24">
        <f t="shared" si="4"/>
        <v>6</v>
      </c>
      <c r="G35" s="24">
        <f t="shared" si="5"/>
        <v>5</v>
      </c>
    </row>
    <row r="36" spans="1:10" x14ac:dyDescent="0.45">
      <c r="A36" s="12">
        <v>35</v>
      </c>
      <c r="B36" s="10">
        <f t="shared" si="0"/>
        <v>0.14285714285714268</v>
      </c>
      <c r="C36" s="10">
        <f t="shared" si="1"/>
        <v>0.26890756302520991</v>
      </c>
      <c r="D36" s="10">
        <f t="shared" si="2"/>
        <v>0.3796791443850267</v>
      </c>
      <c r="E36" s="10">
        <f t="shared" si="3"/>
        <v>0.47660427807486616</v>
      </c>
      <c r="F36" s="24">
        <f t="shared" si="4"/>
        <v>7</v>
      </c>
      <c r="G36" s="24">
        <f t="shared" si="5"/>
        <v>6</v>
      </c>
    </row>
    <row r="37" spans="1:10" x14ac:dyDescent="0.45">
      <c r="A37" s="12">
        <v>40</v>
      </c>
      <c r="B37" s="10">
        <f t="shared" si="0"/>
        <v>0.125</v>
      </c>
      <c r="C37" s="10">
        <f t="shared" si="1"/>
        <v>0.23717948717948723</v>
      </c>
      <c r="D37" s="10">
        <f t="shared" si="2"/>
        <v>0.33755060728744934</v>
      </c>
      <c r="E37" s="10">
        <f t="shared" si="3"/>
        <v>0.42707079549184812</v>
      </c>
      <c r="F37" s="24">
        <f t="shared" si="4"/>
        <v>8</v>
      </c>
      <c r="G37" s="24">
        <f t="shared" si="5"/>
        <v>7</v>
      </c>
    </row>
    <row r="38" spans="1:10" x14ac:dyDescent="0.45">
      <c r="A38" s="12">
        <v>50</v>
      </c>
      <c r="B38" s="10">
        <f t="shared" si="0"/>
        <v>9.9999999999999978E-2</v>
      </c>
      <c r="C38" s="10">
        <f t="shared" si="1"/>
        <v>0.19183673469387752</v>
      </c>
      <c r="D38" s="10">
        <f t="shared" si="2"/>
        <v>0.27602040816326545</v>
      </c>
      <c r="E38" s="10">
        <f t="shared" si="3"/>
        <v>0.3530395136778115</v>
      </c>
      <c r="F38" s="24">
        <f t="shared" si="4"/>
        <v>10</v>
      </c>
      <c r="G38" s="24">
        <f t="shared" si="5"/>
        <v>9</v>
      </c>
    </row>
    <row r="40" spans="1:10" x14ac:dyDescent="0.45">
      <c r="A40" s="3" t="s">
        <v>682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45">
      <c r="A41" s="2" t="s">
        <v>683</v>
      </c>
    </row>
    <row r="42" spans="1:10" x14ac:dyDescent="0.45">
      <c r="A42" s="6" t="s">
        <v>684</v>
      </c>
      <c r="B42" s="6" t="s">
        <v>685</v>
      </c>
      <c r="C42" s="6" t="s">
        <v>686</v>
      </c>
    </row>
    <row r="43" spans="1:10" x14ac:dyDescent="0.45">
      <c r="A43" s="12">
        <v>1</v>
      </c>
      <c r="B43" s="24">
        <f>MIN($B$7,1*$B$5)</f>
        <v>5</v>
      </c>
      <c r="C43" s="10">
        <f>IF($B$7-$B$8&lt;MIN($B$7,1*$B$5),1,1-COMBIN($B$7-$B$8,MIN($B$7,1*$B$5))/COMBIN($B$7,MIN($B$7,1*$B$5)))</f>
        <v>0.7142857142857143</v>
      </c>
    </row>
    <row r="44" spans="1:10" x14ac:dyDescent="0.45">
      <c r="A44" s="12">
        <v>2</v>
      </c>
      <c r="B44" s="24">
        <f>MIN($B$7,2*$B$5)</f>
        <v>7</v>
      </c>
      <c r="C44" s="10">
        <f>IF($B$7-$B$8&lt;MIN($B$7,2*$B$5),1,1-COMBIN($B$7-$B$8,MIN($B$7,2*$B$5))/COMBIN($B$7,MIN($B$7,2*$B$5)))</f>
        <v>1</v>
      </c>
    </row>
    <row r="45" spans="1:10" x14ac:dyDescent="0.45">
      <c r="A45" s="12">
        <v>3</v>
      </c>
      <c r="B45" s="24">
        <f>MIN($B$7,3*$B$5)</f>
        <v>7</v>
      </c>
      <c r="C45" s="10">
        <f>IF($B$7-$B$8&lt;MIN($B$7,3*$B$5),1,1-COMBIN($B$7-$B$8,MIN($B$7,3*$B$5))/COMBIN($B$7,MIN($B$7,3*$B$5)))</f>
        <v>1</v>
      </c>
    </row>
    <row r="46" spans="1:10" x14ac:dyDescent="0.45">
      <c r="A46" s="12">
        <v>4</v>
      </c>
      <c r="B46" s="24">
        <f>MIN($B$7,4*$B$5)</f>
        <v>7</v>
      </c>
      <c r="C46" s="10">
        <f>IF($B$7-$B$8&lt;MIN($B$7,4*$B$5),1,1-COMBIN($B$7-$B$8,MIN($B$7,4*$B$5))/COMBIN($B$7,MIN($B$7,4*$B$5)))</f>
        <v>1</v>
      </c>
    </row>
    <row r="47" spans="1:10" x14ac:dyDescent="0.45">
      <c r="A47" s="12">
        <v>5</v>
      </c>
      <c r="B47" s="24">
        <f>MIN($B$7,5*$B$5)</f>
        <v>7</v>
      </c>
      <c r="C47" s="10">
        <f>IF($B$7-$B$8&lt;MIN($B$7,5*$B$5),1,1-COMBIN($B$7-$B$8,MIN($B$7,5*$B$5))/COMBIN($B$7,MIN($B$7,5*$B$5)))</f>
        <v>1</v>
      </c>
    </row>
    <row r="48" spans="1:10" x14ac:dyDescent="0.45">
      <c r="A48" s="12">
        <v>6</v>
      </c>
      <c r="B48" s="24">
        <f>MIN($B$7,6*$B$5)</f>
        <v>7</v>
      </c>
      <c r="C48" s="10">
        <f>IF($B$7-$B$8&lt;MIN($B$7,6*$B$5),1,1-COMBIN($B$7-$B$8,MIN($B$7,6*$B$5))/COMBIN($B$7,MIN($B$7,6*$B$5)))</f>
        <v>1</v>
      </c>
    </row>
    <row r="49" spans="1:10" x14ac:dyDescent="0.45">
      <c r="A49" s="12">
        <v>7</v>
      </c>
      <c r="B49" s="24">
        <f>MIN($B$7,7*$B$5)</f>
        <v>7</v>
      </c>
      <c r="C49" s="10">
        <f>IF($B$7-$B$8&lt;MIN($B$7,7*$B$5),1,1-COMBIN($B$7-$B$8,MIN($B$7,7*$B$5))/COMBIN($B$7,MIN($B$7,7*$B$5)))</f>
        <v>1</v>
      </c>
    </row>
    <row r="50" spans="1:10" x14ac:dyDescent="0.45">
      <c r="A50" s="12">
        <v>8</v>
      </c>
      <c r="B50" s="24">
        <f>MIN($B$7,8*$B$5)</f>
        <v>7</v>
      </c>
      <c r="C50" s="10">
        <f>IF($B$7-$B$8&lt;MIN($B$7,8*$B$5),1,1-COMBIN($B$7-$B$8,MIN($B$7,8*$B$5))/COMBIN($B$7,MIN($B$7,8*$B$5)))</f>
        <v>1</v>
      </c>
    </row>
    <row r="52" spans="1:10" x14ac:dyDescent="0.45">
      <c r="A52" s="3" t="s">
        <v>687</v>
      </c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45">
      <c r="A53" s="5" t="s">
        <v>688</v>
      </c>
      <c r="B53" s="22">
        <v>20</v>
      </c>
    </row>
    <row r="54" spans="1:10" x14ac:dyDescent="0.45">
      <c r="A54" s="5" t="s">
        <v>689</v>
      </c>
      <c r="B54" s="22">
        <v>8</v>
      </c>
    </row>
    <row r="55" spans="1:10" x14ac:dyDescent="0.45">
      <c r="A55" s="5" t="s">
        <v>690</v>
      </c>
      <c r="B55" s="22">
        <v>5</v>
      </c>
    </row>
    <row r="56" spans="1:10" x14ac:dyDescent="0.45">
      <c r="A56" s="5" t="s">
        <v>691</v>
      </c>
      <c r="B56" s="22">
        <v>2</v>
      </c>
    </row>
    <row r="57" spans="1:10" x14ac:dyDescent="0.45">
      <c r="A57" s="5" t="s">
        <v>692</v>
      </c>
      <c r="B57" s="17">
        <f>IF($B$56&lt;=0,1,1-_xlfn.HYPGEOM.DIST($B$56-1,$B$55,$B$54,$B$53,TRUE))</f>
        <v>0.69349845201238403</v>
      </c>
    </row>
    <row r="58" spans="1:10" x14ac:dyDescent="0.45">
      <c r="A58" s="5" t="s">
        <v>693</v>
      </c>
      <c r="B58" s="17">
        <f>_xlfn.HYPGEOM.DIST($B$56,$B$55,$B$54,$B$53,FALSE)</f>
        <v>0.39731682146542835</v>
      </c>
    </row>
    <row r="59" spans="1:10" x14ac:dyDescent="0.45">
      <c r="A59" s="5" t="s">
        <v>694</v>
      </c>
      <c r="B59" s="9">
        <f>$B$55*$B$54/$B$53</f>
        <v>2</v>
      </c>
    </row>
    <row r="61" spans="1:10" x14ac:dyDescent="0.45">
      <c r="A61" s="3" t="s">
        <v>695</v>
      </c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45">
      <c r="A62" s="2" t="s">
        <v>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"/>
  <sheetViews>
    <sheetView showGridLines="0" workbookViewId="0"/>
  </sheetViews>
  <sheetFormatPr baseColWidth="10" defaultColWidth="9.06640625" defaultRowHeight="14.25" x14ac:dyDescent="0.45"/>
  <cols>
    <col min="1" max="1" width="40" customWidth="1"/>
    <col min="2" max="3" width="13" customWidth="1"/>
    <col min="4" max="4" width="50" customWidth="1"/>
  </cols>
  <sheetData>
    <row r="1" spans="1:4" ht="17.649999999999999" x14ac:dyDescent="0.5">
      <c r="A1" s="1" t="s">
        <v>697</v>
      </c>
    </row>
    <row r="2" spans="1:4" x14ac:dyDescent="0.45">
      <c r="A2" s="2" t="s">
        <v>698</v>
      </c>
    </row>
    <row r="4" spans="1:4" x14ac:dyDescent="0.45">
      <c r="A4" s="3" t="s">
        <v>699</v>
      </c>
      <c r="B4" s="3"/>
      <c r="C4" s="3"/>
      <c r="D4" s="3"/>
    </row>
    <row r="5" spans="1:4" x14ac:dyDescent="0.45">
      <c r="A5" s="6" t="s">
        <v>700</v>
      </c>
      <c r="B5" s="6" t="s">
        <v>174</v>
      </c>
      <c r="C5" s="6" t="s">
        <v>701</v>
      </c>
      <c r="D5" s="6" t="s">
        <v>702</v>
      </c>
    </row>
    <row r="6" spans="1:4" x14ac:dyDescent="0.45">
      <c r="A6" s="8" t="s">
        <v>703</v>
      </c>
      <c r="B6" s="8" t="s">
        <v>704</v>
      </c>
      <c r="C6" s="8" t="s">
        <v>391</v>
      </c>
      <c r="D6" s="8" t="s">
        <v>705</v>
      </c>
    </row>
    <row r="7" spans="1:4" x14ac:dyDescent="0.45">
      <c r="A7" s="8" t="s">
        <v>706</v>
      </c>
      <c r="B7" s="8" t="s">
        <v>707</v>
      </c>
      <c r="C7" s="8" t="s">
        <v>391</v>
      </c>
      <c r="D7" s="8" t="s">
        <v>708</v>
      </c>
    </row>
    <row r="8" spans="1:4" x14ac:dyDescent="0.45">
      <c r="A8" s="8" t="s">
        <v>709</v>
      </c>
      <c r="B8" s="8" t="s">
        <v>710</v>
      </c>
      <c r="C8" s="8" t="s">
        <v>391</v>
      </c>
      <c r="D8" s="8" t="s">
        <v>711</v>
      </c>
    </row>
    <row r="10" spans="1:4" x14ac:dyDescent="0.45">
      <c r="A10" s="3" t="s">
        <v>712</v>
      </c>
      <c r="B10" s="3"/>
      <c r="C10" s="3"/>
      <c r="D10" s="3"/>
    </row>
    <row r="11" spans="1:4" x14ac:dyDescent="0.45">
      <c r="A11" s="5" t="s">
        <v>347</v>
      </c>
      <c r="B11" s="22">
        <v>12</v>
      </c>
    </row>
    <row r="12" spans="1:4" x14ac:dyDescent="0.45">
      <c r="A12" s="5" t="s">
        <v>713</v>
      </c>
      <c r="B12" s="17">
        <f>IF($B$11&lt;=5,1,5/$B$11)</f>
        <v>0.41666666666666669</v>
      </c>
    </row>
    <row r="13" spans="1:4" x14ac:dyDescent="0.45">
      <c r="A13" s="5" t="s">
        <v>714</v>
      </c>
      <c r="B13" s="17">
        <f>IF($B$11&lt;=3,1,3/$B$11)</f>
        <v>0.25</v>
      </c>
      <c r="C13" s="2" t="s">
        <v>715</v>
      </c>
    </row>
    <row r="14" spans="1:4" x14ac:dyDescent="0.45">
      <c r="A14" s="5" t="s">
        <v>716</v>
      </c>
      <c r="B14" s="17">
        <f>IF($B$11&lt;=3,1,3/$B$11)</f>
        <v>0.25</v>
      </c>
      <c r="C14" s="2" t="s">
        <v>717</v>
      </c>
    </row>
    <row r="15" spans="1:4" x14ac:dyDescent="0.45">
      <c r="A15" s="5" t="s">
        <v>718</v>
      </c>
      <c r="B15" s="17">
        <f>IF($B$11&gt;0,1/$B$11,0)</f>
        <v>8.3333333333333329E-2</v>
      </c>
      <c r="C15" s="2" t="s">
        <v>719</v>
      </c>
    </row>
    <row r="17" spans="1:4" x14ac:dyDescent="0.45">
      <c r="A17" s="3" t="s">
        <v>720</v>
      </c>
      <c r="B17" s="3"/>
      <c r="C17" s="3"/>
      <c r="D17" s="3"/>
    </row>
    <row r="18" spans="1:4" x14ac:dyDescent="0.45">
      <c r="A18" s="5" t="s">
        <v>721</v>
      </c>
      <c r="B18" s="22">
        <v>6</v>
      </c>
    </row>
    <row r="19" spans="1:4" x14ac:dyDescent="0.45">
      <c r="A19" s="5" t="s">
        <v>722</v>
      </c>
      <c r="B19" s="22">
        <v>0</v>
      </c>
    </row>
    <row r="20" spans="1:4" x14ac:dyDescent="0.45">
      <c r="A20" s="5" t="s">
        <v>723</v>
      </c>
      <c r="B20" s="12">
        <f>1+$B$19</f>
        <v>1</v>
      </c>
      <c r="C20" s="2" t="s">
        <v>724</v>
      </c>
    </row>
    <row r="21" spans="1:4" x14ac:dyDescent="0.45">
      <c r="A21" s="5" t="s">
        <v>725</v>
      </c>
      <c r="B21" s="17">
        <f>IF($B$18&gt;0,1/$B$18,0)</f>
        <v>0.16666666666666666</v>
      </c>
    </row>
    <row r="22" spans="1:4" x14ac:dyDescent="0.45">
      <c r="A22" s="5" t="s">
        <v>726</v>
      </c>
      <c r="B22" s="17">
        <f>IF($B$18&gt;0,1-(1-1/$B$18)^(1+$B$19),0)</f>
        <v>0.16666666666666663</v>
      </c>
      <c r="C22" s="2" t="s">
        <v>727</v>
      </c>
    </row>
    <row r="23" spans="1:4" x14ac:dyDescent="0.45">
      <c r="A23" s="2" t="s">
        <v>728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8"/>
  <sheetViews>
    <sheetView showGridLines="0" workbookViewId="0"/>
  </sheetViews>
  <sheetFormatPr baseColWidth="10" defaultColWidth="9.06640625" defaultRowHeight="14.25" x14ac:dyDescent="0.45"/>
  <cols>
    <col min="1" max="1" width="10" customWidth="1"/>
    <col min="2" max="6" width="13" customWidth="1"/>
    <col min="7" max="7" width="14" customWidth="1"/>
    <col min="8" max="13" width="13" customWidth="1"/>
  </cols>
  <sheetData>
    <row r="1" spans="1:13" ht="17.649999999999999" x14ac:dyDescent="0.5">
      <c r="A1" s="1" t="s">
        <v>729</v>
      </c>
    </row>
    <row r="2" spans="1:13" x14ac:dyDescent="0.45">
      <c r="A2" s="2" t="s">
        <v>730</v>
      </c>
    </row>
    <row r="4" spans="1:13" x14ac:dyDescent="0.45">
      <c r="A4" s="6" t="s">
        <v>145</v>
      </c>
      <c r="B4" s="6" t="s">
        <v>731</v>
      </c>
      <c r="C4" s="6" t="s">
        <v>732</v>
      </c>
      <c r="D4" s="6" t="s">
        <v>733</v>
      </c>
      <c r="E4" s="6" t="s">
        <v>734</v>
      </c>
      <c r="F4" s="6" t="s">
        <v>735</v>
      </c>
      <c r="G4" s="6" t="s">
        <v>736</v>
      </c>
      <c r="H4" s="6" t="s">
        <v>737</v>
      </c>
      <c r="I4" s="6" t="s">
        <v>141</v>
      </c>
      <c r="J4" s="6" t="s">
        <v>142</v>
      </c>
      <c r="K4" s="6" t="s">
        <v>738</v>
      </c>
      <c r="L4" s="6" t="s">
        <v>146</v>
      </c>
      <c r="M4" s="6" t="s">
        <v>739</v>
      </c>
    </row>
    <row r="5" spans="1:13" x14ac:dyDescent="0.45">
      <c r="A5" s="12">
        <v>0</v>
      </c>
      <c r="B5" s="16">
        <f>'Niveau (draft)'!B14</f>
        <v>0.02</v>
      </c>
      <c r="C5" s="16">
        <f>'Niveau (draft)'!C14</f>
        <v>0.06</v>
      </c>
      <c r="D5" s="16">
        <f>'Niveau (draft)'!D14</f>
        <v>0.16</v>
      </c>
      <c r="E5" s="16">
        <f>'Niveau (draft)'!E14</f>
        <v>0.24</v>
      </c>
      <c r="F5" s="16">
        <f>'Niveau (draft)'!F14</f>
        <v>0.52</v>
      </c>
      <c r="G5" s="28">
        <f>'Niveau (draft)'!B44</f>
        <v>5.0000000000000001E-3</v>
      </c>
      <c r="H5" s="16">
        <f>Reliques!B22</f>
        <v>0.01</v>
      </c>
      <c r="I5" s="16">
        <f>Reliques!C22</f>
        <v>0.05</v>
      </c>
      <c r="J5" s="16">
        <f>Reliques!D22</f>
        <v>0.14000000000000001</v>
      </c>
      <c r="K5" s="16">
        <f>Reliques!E22</f>
        <v>0.2</v>
      </c>
      <c r="L5" s="16">
        <f>Reliques!F22</f>
        <v>0.6</v>
      </c>
      <c r="M5" s="10">
        <f t="shared" ref="M5:M17" si="0">MIN(100,10+0.5*A5)/100</f>
        <v>0.1</v>
      </c>
    </row>
    <row r="6" spans="1:13" x14ac:dyDescent="0.45">
      <c r="A6" s="12">
        <v>1</v>
      </c>
      <c r="B6" s="16">
        <f>'Niveau (draft)'!B15</f>
        <v>2.5000000000000001E-2</v>
      </c>
      <c r="C6" s="16">
        <f>'Niveau (draft)'!C15</f>
        <v>7.4999999999999997E-2</v>
      </c>
      <c r="D6" s="16">
        <f>'Niveau (draft)'!D15</f>
        <v>0.19</v>
      </c>
      <c r="E6" s="16">
        <f>'Niveau (draft)'!E15</f>
        <v>0.28000000000000003</v>
      </c>
      <c r="F6" s="16">
        <f>'Niveau (draft)'!F15</f>
        <v>0.42999999999999994</v>
      </c>
      <c r="G6" s="28">
        <f>'Niveau (draft)'!B45</f>
        <v>6.5000000000000006E-3</v>
      </c>
      <c r="H6" s="16">
        <f>Reliques!B23</f>
        <v>1.4999999999999999E-2</v>
      </c>
      <c r="I6" s="16">
        <f>Reliques!C23</f>
        <v>0.06</v>
      </c>
      <c r="J6" s="16">
        <f>Reliques!D23</f>
        <v>0.16</v>
      </c>
      <c r="K6" s="16">
        <f>Reliques!E23</f>
        <v>0.23</v>
      </c>
      <c r="L6" s="16">
        <f>Reliques!F23</f>
        <v>0.53499999999999992</v>
      </c>
      <c r="M6" s="10">
        <f t="shared" si="0"/>
        <v>0.105</v>
      </c>
    </row>
    <row r="7" spans="1:13" x14ac:dyDescent="0.45">
      <c r="A7" s="12">
        <v>2</v>
      </c>
      <c r="B7" s="16">
        <f>'Niveau (draft)'!B16</f>
        <v>0.03</v>
      </c>
      <c r="C7" s="16">
        <f>'Niveau (draft)'!C16</f>
        <v>0.09</v>
      </c>
      <c r="D7" s="16">
        <f>'Niveau (draft)'!D16</f>
        <v>0.22</v>
      </c>
      <c r="E7" s="16">
        <f>'Niveau (draft)'!E16</f>
        <v>0.32</v>
      </c>
      <c r="F7" s="16">
        <f>'Niveau (draft)'!F16</f>
        <v>0.34000000000000008</v>
      </c>
      <c r="G7" s="28">
        <f>'Niveau (draft)'!B46</f>
        <v>8.0000000000000002E-3</v>
      </c>
      <c r="H7" s="16">
        <f>Reliques!B24</f>
        <v>0.02</v>
      </c>
      <c r="I7" s="16">
        <f>Reliques!C24</f>
        <v>7.0000000000000007E-2</v>
      </c>
      <c r="J7" s="16">
        <f>Reliques!D24</f>
        <v>0.18</v>
      </c>
      <c r="K7" s="16">
        <f>Reliques!E24</f>
        <v>0.26</v>
      </c>
      <c r="L7" s="16">
        <f>Reliques!F24</f>
        <v>0.47</v>
      </c>
      <c r="M7" s="10">
        <f t="shared" si="0"/>
        <v>0.11</v>
      </c>
    </row>
    <row r="8" spans="1:13" x14ac:dyDescent="0.45">
      <c r="A8" s="12">
        <v>3</v>
      </c>
      <c r="B8" s="16">
        <f>'Niveau (draft)'!B17</f>
        <v>3.5000000000000003E-2</v>
      </c>
      <c r="C8" s="16">
        <f>'Niveau (draft)'!C17</f>
        <v>0.105</v>
      </c>
      <c r="D8" s="16">
        <f>'Niveau (draft)'!D17</f>
        <v>0.25</v>
      </c>
      <c r="E8" s="16">
        <f>'Niveau (draft)'!E17</f>
        <v>0.36</v>
      </c>
      <c r="F8" s="16">
        <f>'Niveau (draft)'!F17</f>
        <v>0.25</v>
      </c>
      <c r="G8" s="28">
        <f>'Niveau (draft)'!B47</f>
        <v>9.4999999999999998E-3</v>
      </c>
      <c r="H8" s="16">
        <f>Reliques!B25</f>
        <v>2.5000000000000001E-2</v>
      </c>
      <c r="I8" s="16">
        <f>Reliques!C25</f>
        <v>0.08</v>
      </c>
      <c r="J8" s="16">
        <f>Reliques!D25</f>
        <v>0.2</v>
      </c>
      <c r="K8" s="16">
        <f>Reliques!E25</f>
        <v>0.28999999999999998</v>
      </c>
      <c r="L8" s="16">
        <f>Reliques!F25</f>
        <v>0.40500000000000003</v>
      </c>
      <c r="M8" s="10">
        <f t="shared" si="0"/>
        <v>0.115</v>
      </c>
    </row>
    <row r="9" spans="1:13" x14ac:dyDescent="0.45">
      <c r="A9" s="12">
        <v>4</v>
      </c>
      <c r="B9" s="16">
        <f>'Niveau (draft)'!B18</f>
        <v>0.04</v>
      </c>
      <c r="C9" s="16">
        <f>'Niveau (draft)'!C18</f>
        <v>0.12</v>
      </c>
      <c r="D9" s="16">
        <f>'Niveau (draft)'!D18</f>
        <v>0.28000000000000003</v>
      </c>
      <c r="E9" s="16">
        <f>'Niveau (draft)'!E18</f>
        <v>0.4</v>
      </c>
      <c r="F9" s="16">
        <f>'Niveau (draft)'!F18</f>
        <v>0.15999999999999992</v>
      </c>
      <c r="G9" s="28">
        <f>'Niveau (draft)'!B48</f>
        <v>1.1000000000000001E-2</v>
      </c>
      <c r="H9" s="16">
        <f>Reliques!B26</f>
        <v>0.03</v>
      </c>
      <c r="I9" s="16">
        <f>Reliques!C26</f>
        <v>0.09</v>
      </c>
      <c r="J9" s="16">
        <f>Reliques!D26</f>
        <v>0.22</v>
      </c>
      <c r="K9" s="16">
        <f>Reliques!E26</f>
        <v>0.32</v>
      </c>
      <c r="L9" s="16">
        <f>Reliques!F26</f>
        <v>0.33999999999999997</v>
      </c>
      <c r="M9" s="10">
        <f t="shared" si="0"/>
        <v>0.12</v>
      </c>
    </row>
    <row r="10" spans="1:13" x14ac:dyDescent="0.45">
      <c r="A10" s="12">
        <v>5</v>
      </c>
      <c r="B10" s="16">
        <f>'Niveau (draft)'!B19</f>
        <v>4.4999999999999998E-2</v>
      </c>
      <c r="C10" s="16">
        <f>'Niveau (draft)'!C19</f>
        <v>0.13500000000000001</v>
      </c>
      <c r="D10" s="16">
        <f>'Niveau (draft)'!D19</f>
        <v>0.31</v>
      </c>
      <c r="E10" s="16">
        <f>'Niveau (draft)'!E19</f>
        <v>0.44</v>
      </c>
      <c r="F10" s="16">
        <f>'Niveau (draft)'!F19</f>
        <v>7.0000000000000062E-2</v>
      </c>
      <c r="G10" s="28">
        <f>'Niveau (draft)'!B49</f>
        <v>1.2500000000000001E-2</v>
      </c>
      <c r="H10" s="16">
        <f>Reliques!B27</f>
        <v>3.5000000000000003E-2</v>
      </c>
      <c r="I10" s="16">
        <f>Reliques!C27</f>
        <v>0.1</v>
      </c>
      <c r="J10" s="16">
        <f>Reliques!D27</f>
        <v>0.24</v>
      </c>
      <c r="K10" s="16">
        <f>Reliques!E27</f>
        <v>0.35</v>
      </c>
      <c r="L10" s="16">
        <f>Reliques!F27</f>
        <v>0.27500000000000002</v>
      </c>
      <c r="M10" s="10">
        <f t="shared" si="0"/>
        <v>0.125</v>
      </c>
    </row>
    <row r="11" spans="1:13" x14ac:dyDescent="0.45">
      <c r="A11" s="12">
        <v>6</v>
      </c>
      <c r="B11" s="16">
        <f>'Niveau (draft)'!B20</f>
        <v>0.05</v>
      </c>
      <c r="C11" s="16">
        <f>'Niveau (draft)'!C20</f>
        <v>0.15</v>
      </c>
      <c r="D11" s="16">
        <f>'Niveau (draft)'!D20</f>
        <v>0.34</v>
      </c>
      <c r="E11" s="16">
        <f>'Niveau (draft)'!E20</f>
        <v>0.46</v>
      </c>
      <c r="F11" s="16">
        <f>'Niveau (draft)'!F20</f>
        <v>0</v>
      </c>
      <c r="G11" s="28">
        <f>'Niveau (draft)'!B50</f>
        <v>1.3999999999999999E-2</v>
      </c>
      <c r="H11" s="16">
        <f>Reliques!B28</f>
        <v>0.04</v>
      </c>
      <c r="I11" s="16">
        <f>Reliques!C28</f>
        <v>0.11</v>
      </c>
      <c r="J11" s="16">
        <f>Reliques!D28</f>
        <v>0.26</v>
      </c>
      <c r="K11" s="16">
        <f>Reliques!E28</f>
        <v>0.38</v>
      </c>
      <c r="L11" s="16">
        <f>Reliques!F28</f>
        <v>0.20999999999999996</v>
      </c>
      <c r="M11" s="10">
        <f t="shared" si="0"/>
        <v>0.13</v>
      </c>
    </row>
    <row r="12" spans="1:13" x14ac:dyDescent="0.45">
      <c r="A12" s="12">
        <v>7</v>
      </c>
      <c r="B12" s="16">
        <f>'Niveau (draft)'!B21</f>
        <v>5.5E-2</v>
      </c>
      <c r="C12" s="16">
        <f>'Niveau (draft)'!C21</f>
        <v>0.16500000000000001</v>
      </c>
      <c r="D12" s="16">
        <f>'Niveau (draft)'!D21</f>
        <v>0.37</v>
      </c>
      <c r="E12" s="16">
        <f>'Niveau (draft)'!E21</f>
        <v>0.41</v>
      </c>
      <c r="F12" s="16">
        <f>'Niveau (draft)'!F21</f>
        <v>0</v>
      </c>
      <c r="G12" s="28">
        <f>'Niveau (draft)'!B51</f>
        <v>1.55E-2</v>
      </c>
      <c r="H12" s="16">
        <f>Reliques!B29</f>
        <v>4.4999999999999998E-2</v>
      </c>
      <c r="I12" s="16">
        <f>Reliques!C29</f>
        <v>0.12</v>
      </c>
      <c r="J12" s="16">
        <f>Reliques!D29</f>
        <v>0.28000000000000003</v>
      </c>
      <c r="K12" s="16">
        <f>Reliques!E29</f>
        <v>0.41</v>
      </c>
      <c r="L12" s="16">
        <f>Reliques!F29</f>
        <v>0.14500000000000002</v>
      </c>
      <c r="M12" s="10">
        <f t="shared" si="0"/>
        <v>0.13500000000000001</v>
      </c>
    </row>
    <row r="13" spans="1:13" x14ac:dyDescent="0.45">
      <c r="A13" s="12">
        <v>8</v>
      </c>
      <c r="B13" s="16">
        <f>'Niveau (draft)'!B22</f>
        <v>0.06</v>
      </c>
      <c r="C13" s="16">
        <f>'Niveau (draft)'!C22</f>
        <v>0.18</v>
      </c>
      <c r="D13" s="16">
        <f>'Niveau (draft)'!D22</f>
        <v>0.4</v>
      </c>
      <c r="E13" s="16">
        <f>'Niveau (draft)'!E22</f>
        <v>0.36</v>
      </c>
      <c r="F13" s="16">
        <f>'Niveau (draft)'!F22</f>
        <v>0</v>
      </c>
      <c r="G13" s="28">
        <f>'Niveau (draft)'!B52</f>
        <v>1.7000000000000001E-2</v>
      </c>
      <c r="H13" s="16">
        <f>Reliques!B30</f>
        <v>0.05</v>
      </c>
      <c r="I13" s="16">
        <f>Reliques!C30</f>
        <v>0.13</v>
      </c>
      <c r="J13" s="16">
        <f>Reliques!D30</f>
        <v>0.3</v>
      </c>
      <c r="K13" s="16">
        <f>Reliques!E30</f>
        <v>0.44</v>
      </c>
      <c r="L13" s="16">
        <f>Reliques!F30</f>
        <v>7.999999999999996E-2</v>
      </c>
      <c r="M13" s="10">
        <f t="shared" si="0"/>
        <v>0.14000000000000001</v>
      </c>
    </row>
    <row r="14" spans="1:13" x14ac:dyDescent="0.45">
      <c r="A14" s="12">
        <v>9</v>
      </c>
      <c r="B14" s="16">
        <f>'Niveau (draft)'!B23</f>
        <v>6.5000000000000002E-2</v>
      </c>
      <c r="C14" s="16">
        <f>'Niveau (draft)'!C23</f>
        <v>0.19500000000000001</v>
      </c>
      <c r="D14" s="16">
        <f>'Niveau (draft)'!D23</f>
        <v>0.43</v>
      </c>
      <c r="E14" s="16">
        <f>'Niveau (draft)'!E23</f>
        <v>0.31</v>
      </c>
      <c r="F14" s="16">
        <f>'Niveau (draft)'!F23</f>
        <v>0</v>
      </c>
      <c r="G14" s="28">
        <f>'Niveau (draft)'!B53</f>
        <v>1.8499999999999999E-2</v>
      </c>
      <c r="H14" s="16">
        <f>Reliques!B31</f>
        <v>5.5E-2</v>
      </c>
      <c r="I14" s="16">
        <f>Reliques!C31</f>
        <v>0.14000000000000001</v>
      </c>
      <c r="J14" s="16">
        <f>Reliques!D31</f>
        <v>0.32</v>
      </c>
      <c r="K14" s="16">
        <f>Reliques!E31</f>
        <v>0.47</v>
      </c>
      <c r="L14" s="16">
        <f>Reliques!F31</f>
        <v>1.5000000000000013E-2</v>
      </c>
      <c r="M14" s="10">
        <f t="shared" si="0"/>
        <v>0.14499999999999999</v>
      </c>
    </row>
    <row r="15" spans="1:13" x14ac:dyDescent="0.45">
      <c r="A15" s="12">
        <v>10</v>
      </c>
      <c r="B15" s="16">
        <f>'Niveau (draft)'!B24</f>
        <v>7.0000000000000007E-2</v>
      </c>
      <c r="C15" s="16">
        <f>'Niveau (draft)'!C24</f>
        <v>0.21</v>
      </c>
      <c r="D15" s="16">
        <f>'Niveau (draft)'!D24</f>
        <v>0.46</v>
      </c>
      <c r="E15" s="16">
        <f>'Niveau (draft)'!E24</f>
        <v>0.26</v>
      </c>
      <c r="F15" s="16">
        <f>'Niveau (draft)'!F24</f>
        <v>0</v>
      </c>
      <c r="G15" s="28">
        <f>'Niveau (draft)'!B54</f>
        <v>0.02</v>
      </c>
      <c r="H15" s="16">
        <f>Reliques!B32</f>
        <v>0.06</v>
      </c>
      <c r="I15" s="16">
        <f>Reliques!C32</f>
        <v>0.15</v>
      </c>
      <c r="J15" s="16">
        <f>Reliques!D32</f>
        <v>0.34</v>
      </c>
      <c r="K15" s="16">
        <f>Reliques!E32</f>
        <v>0.45</v>
      </c>
      <c r="L15" s="16">
        <f>Reliques!F32</f>
        <v>0</v>
      </c>
      <c r="M15" s="10">
        <f t="shared" si="0"/>
        <v>0.15</v>
      </c>
    </row>
    <row r="16" spans="1:13" x14ac:dyDescent="0.45">
      <c r="A16" s="12">
        <v>11</v>
      </c>
      <c r="B16" s="16">
        <f>'Niveau (draft)'!B25</f>
        <v>7.4999999999999997E-2</v>
      </c>
      <c r="C16" s="16">
        <f>'Niveau (draft)'!C25</f>
        <v>0.22500000000000001</v>
      </c>
      <c r="D16" s="16">
        <f>'Niveau (draft)'!D25</f>
        <v>0.49</v>
      </c>
      <c r="E16" s="16">
        <f>'Niveau (draft)'!E25</f>
        <v>0.21</v>
      </c>
      <c r="F16" s="16">
        <f>'Niveau (draft)'!F25</f>
        <v>0</v>
      </c>
      <c r="G16" s="28">
        <f>'Niveau (draft)'!B55</f>
        <v>2.1499999999999998E-2</v>
      </c>
      <c r="H16" s="16">
        <f>Reliques!B33</f>
        <v>6.5000000000000002E-2</v>
      </c>
      <c r="I16" s="16">
        <f>Reliques!C33</f>
        <v>0.16</v>
      </c>
      <c r="J16" s="16">
        <f>Reliques!D33</f>
        <v>0.36</v>
      </c>
      <c r="K16" s="16">
        <f>Reliques!E33</f>
        <v>0.41499999999999998</v>
      </c>
      <c r="L16" s="16">
        <f>Reliques!F33</f>
        <v>0</v>
      </c>
      <c r="M16" s="10">
        <f t="shared" si="0"/>
        <v>0.155</v>
      </c>
    </row>
    <row r="17" spans="1:13" x14ac:dyDescent="0.45">
      <c r="A17" s="12">
        <v>12</v>
      </c>
      <c r="B17" s="16">
        <f>'Niveau (draft)'!B26</f>
        <v>0.08</v>
      </c>
      <c r="C17" s="16">
        <f>'Niveau (draft)'!C26</f>
        <v>0.24</v>
      </c>
      <c r="D17" s="16">
        <f>'Niveau (draft)'!D26</f>
        <v>0.52</v>
      </c>
      <c r="E17" s="16">
        <f>'Niveau (draft)'!E26</f>
        <v>0.15999999999999986</v>
      </c>
      <c r="F17" s="16">
        <f>'Niveau (draft)'!F26</f>
        <v>0</v>
      </c>
      <c r="G17" s="28">
        <f>'Niveau (draft)'!B56</f>
        <v>2.3E-2</v>
      </c>
      <c r="H17" s="16">
        <f>Reliques!B34</f>
        <v>7.0000000000000007E-2</v>
      </c>
      <c r="I17" s="16">
        <f>Reliques!C34</f>
        <v>0.17</v>
      </c>
      <c r="J17" s="16">
        <f>Reliques!D34</f>
        <v>0.38</v>
      </c>
      <c r="K17" s="16">
        <f>Reliques!E34</f>
        <v>0.38</v>
      </c>
      <c r="L17" s="16">
        <f>Reliques!F34</f>
        <v>0</v>
      </c>
      <c r="M17" s="10">
        <f t="shared" si="0"/>
        <v>0.16</v>
      </c>
    </row>
    <row r="18" spans="1:13" x14ac:dyDescent="0.45">
      <c r="A18" s="2" t="s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Lisez-moi</vt:lpstr>
      <vt:lpstr>Carte</vt:lpstr>
      <vt:lpstr>Niveau (draft)</vt:lpstr>
      <vt:lpstr>Reliques</vt:lpstr>
      <vt:lpstr>Trouvaille</vt:lpstr>
      <vt:lpstr>Boutique</vt:lpstr>
      <vt:lpstr>Runes</vt:lpstr>
      <vt:lpstr>Critique</vt:lpstr>
      <vt:lpstr>Rencontres</vt:lpstr>
      <vt:lpstr>Événements</vt:lpstr>
      <vt:lpstr>Pioche</vt:lpstr>
      <vt:lpstr>Boss &amp; Miroirs</vt:lpstr>
      <vt:lpstr>Chance (synthèse)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NEWB Umbra</cp:lastModifiedBy>
  <dcterms:created xsi:type="dcterms:W3CDTF">2026-10-13T09:25:22Z</dcterms:created>
  <dcterms:modified xsi:type="dcterms:W3CDTF">2026-10-13T09:25:39Z</dcterms:modified>
</cp:coreProperties>
</file>