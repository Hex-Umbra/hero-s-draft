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pdac\Documents\GameDev and Godot\Roguelike Card Game\roguelike_card_game\docs\tableurs\"/>
    </mc:Choice>
  </mc:AlternateContent>
  <xr:revisionPtr revIDLastSave="0" documentId="13_ncr:1_{6303828E-629D-4890-9F6D-13E05CFA238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Lisez-moi" sheetId="1" r:id="rId1"/>
    <sheet name="Difficulté par acte" sheetId="2" r:id="rId2"/>
    <sheet name="Ennemis par acte" sheetId="3" r:id="rId3"/>
    <sheet name="Calculateur de combat" sheetId="4" r:id="rId4"/>
    <sheet name="Courbe d'XP" sheetId="5" r:id="rId5"/>
    <sheet name="Économie (or)" sheetId="6" r:id="rId6"/>
    <sheet name="Cartes &amp; rareté" sheetId="7" r:id="rId7"/>
    <sheet name="Runes (valeurs)" sheetId="8" r:id="rId8"/>
    <sheet name="Dégâts &amp; statuts" sheetId="9" r:id="rId9"/>
    <sheet name="Passifs &amp; Maîtrise" sheetId="10" r:id="rId10"/>
    <sheet name="Héros &amp; récompenses" sheetId="11" r:id="rId11"/>
    <sheet name="Main &amp; pioch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2" l="1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C69" i="11"/>
  <c r="C68" i="11"/>
  <c r="C67" i="11"/>
  <c r="C66" i="11"/>
  <c r="H26" i="11"/>
  <c r="H25" i="11"/>
  <c r="H23" i="11"/>
  <c r="H22" i="11"/>
  <c r="H21" i="11"/>
  <c r="B18" i="11"/>
  <c r="D53" i="10"/>
  <c r="C53" i="10"/>
  <c r="B53" i="10"/>
  <c r="D52" i="10"/>
  <c r="C52" i="10"/>
  <c r="B52" i="10"/>
  <c r="D51" i="10"/>
  <c r="C51" i="10"/>
  <c r="B51" i="10"/>
  <c r="D50" i="10"/>
  <c r="C50" i="10"/>
  <c r="B50" i="10"/>
  <c r="D49" i="10"/>
  <c r="C49" i="10"/>
  <c r="B49" i="10"/>
  <c r="D48" i="10"/>
  <c r="C48" i="10"/>
  <c r="B48" i="10"/>
  <c r="D47" i="10"/>
  <c r="C47" i="10"/>
  <c r="B47" i="10"/>
  <c r="F43" i="10"/>
  <c r="E43" i="10"/>
  <c r="D43" i="10"/>
  <c r="C43" i="10"/>
  <c r="B43" i="10"/>
  <c r="F42" i="10"/>
  <c r="E42" i="10"/>
  <c r="D42" i="10"/>
  <c r="C42" i="10"/>
  <c r="B42" i="10"/>
  <c r="F41" i="10"/>
  <c r="E41" i="10"/>
  <c r="D41" i="10"/>
  <c r="C41" i="10"/>
  <c r="B41" i="10"/>
  <c r="F40" i="10"/>
  <c r="E40" i="10"/>
  <c r="D40" i="10"/>
  <c r="C40" i="10"/>
  <c r="B40" i="10"/>
  <c r="F39" i="10"/>
  <c r="E39" i="10"/>
  <c r="D39" i="10"/>
  <c r="C39" i="10"/>
  <c r="B39" i="10"/>
  <c r="F38" i="10"/>
  <c r="E38" i="10"/>
  <c r="D38" i="10"/>
  <c r="C38" i="10"/>
  <c r="B38" i="10"/>
  <c r="F37" i="10"/>
  <c r="E37" i="10"/>
  <c r="D37" i="10"/>
  <c r="C37" i="10"/>
  <c r="B37" i="10"/>
  <c r="F36" i="10"/>
  <c r="E36" i="10"/>
  <c r="D36" i="10"/>
  <c r="C36" i="10"/>
  <c r="B36" i="10"/>
  <c r="F35" i="10"/>
  <c r="E35" i="10"/>
  <c r="D35" i="10"/>
  <c r="C35" i="10"/>
  <c r="B35" i="10"/>
  <c r="C31" i="10"/>
  <c r="C30" i="10"/>
  <c r="C29" i="10"/>
  <c r="C28" i="10"/>
  <c r="C27" i="10"/>
  <c r="C26" i="10"/>
  <c r="C25" i="10"/>
  <c r="C24" i="10"/>
  <c r="C23" i="10"/>
  <c r="B57" i="9"/>
  <c r="B56" i="9"/>
  <c r="B55" i="9"/>
  <c r="B54" i="9"/>
  <c r="B53" i="9"/>
  <c r="B52" i="9"/>
  <c r="B51" i="9"/>
  <c r="B50" i="9"/>
  <c r="B49" i="9"/>
  <c r="B48" i="9"/>
  <c r="B47" i="9"/>
  <c r="B46" i="9"/>
  <c r="D33" i="9"/>
  <c r="D32" i="9"/>
  <c r="B25" i="9"/>
  <c r="B26" i="9" s="1"/>
  <c r="B27" i="9" s="1"/>
  <c r="B12" i="9"/>
  <c r="B13" i="9" s="1"/>
  <c r="B14" i="9" s="1"/>
  <c r="B15" i="9" s="1"/>
  <c r="B65" i="8"/>
  <c r="B60" i="8"/>
  <c r="K45" i="8"/>
  <c r="J45" i="8"/>
  <c r="I45" i="8"/>
  <c r="H45" i="8"/>
  <c r="G45" i="8"/>
  <c r="F45" i="8"/>
  <c r="E45" i="8"/>
  <c r="D45" i="8"/>
  <c r="C45" i="8"/>
  <c r="B45" i="8"/>
  <c r="K44" i="8"/>
  <c r="J44" i="8"/>
  <c r="I44" i="8"/>
  <c r="H44" i="8"/>
  <c r="G44" i="8"/>
  <c r="F44" i="8"/>
  <c r="E44" i="8"/>
  <c r="D44" i="8"/>
  <c r="C44" i="8"/>
  <c r="B44" i="8"/>
  <c r="K43" i="8"/>
  <c r="J43" i="8"/>
  <c r="I43" i="8"/>
  <c r="H43" i="8"/>
  <c r="G43" i="8"/>
  <c r="F43" i="8"/>
  <c r="E43" i="8"/>
  <c r="D43" i="8"/>
  <c r="C43" i="8"/>
  <c r="B43" i="8"/>
  <c r="K42" i="8"/>
  <c r="J42" i="8"/>
  <c r="I42" i="8"/>
  <c r="H42" i="8"/>
  <c r="G42" i="8"/>
  <c r="F42" i="8"/>
  <c r="E42" i="8"/>
  <c r="D42" i="8"/>
  <c r="C42" i="8"/>
  <c r="B42" i="8"/>
  <c r="K41" i="8"/>
  <c r="J41" i="8"/>
  <c r="I41" i="8"/>
  <c r="H41" i="8"/>
  <c r="G41" i="8"/>
  <c r="F41" i="8"/>
  <c r="E41" i="8"/>
  <c r="D41" i="8"/>
  <c r="C41" i="8"/>
  <c r="B41" i="8"/>
  <c r="K40" i="8"/>
  <c r="J40" i="8"/>
  <c r="I40" i="8"/>
  <c r="H40" i="8"/>
  <c r="G40" i="8"/>
  <c r="F40" i="8"/>
  <c r="E40" i="8"/>
  <c r="D40" i="8"/>
  <c r="C40" i="8"/>
  <c r="B40" i="8"/>
  <c r="K39" i="8"/>
  <c r="J39" i="8"/>
  <c r="I39" i="8"/>
  <c r="H39" i="8"/>
  <c r="G39" i="8"/>
  <c r="F39" i="8"/>
  <c r="E39" i="8"/>
  <c r="D39" i="8"/>
  <c r="C39" i="8"/>
  <c r="B39" i="8"/>
  <c r="K38" i="8"/>
  <c r="J38" i="8"/>
  <c r="I38" i="8"/>
  <c r="H38" i="8"/>
  <c r="G38" i="8"/>
  <c r="F38" i="8"/>
  <c r="E38" i="8"/>
  <c r="D38" i="8"/>
  <c r="C38" i="8"/>
  <c r="B38" i="8"/>
  <c r="K37" i="8"/>
  <c r="J37" i="8"/>
  <c r="I37" i="8"/>
  <c r="H37" i="8"/>
  <c r="G37" i="8"/>
  <c r="F37" i="8"/>
  <c r="E37" i="8"/>
  <c r="D37" i="8"/>
  <c r="C37" i="8"/>
  <c r="B37" i="8"/>
  <c r="K36" i="8"/>
  <c r="J36" i="8"/>
  <c r="I36" i="8"/>
  <c r="H36" i="8"/>
  <c r="G36" i="8"/>
  <c r="F36" i="8"/>
  <c r="E36" i="8"/>
  <c r="D36" i="8"/>
  <c r="C36" i="8"/>
  <c r="B36" i="8"/>
  <c r="K35" i="8"/>
  <c r="J35" i="8"/>
  <c r="I35" i="8"/>
  <c r="H35" i="8"/>
  <c r="G35" i="8"/>
  <c r="F35" i="8"/>
  <c r="E35" i="8"/>
  <c r="D35" i="8"/>
  <c r="C35" i="8"/>
  <c r="B35" i="8"/>
  <c r="K34" i="8"/>
  <c r="J34" i="8"/>
  <c r="I34" i="8"/>
  <c r="H34" i="8"/>
  <c r="G34" i="8"/>
  <c r="F34" i="8"/>
  <c r="E34" i="8"/>
  <c r="D34" i="8"/>
  <c r="C34" i="8"/>
  <c r="B34" i="8"/>
  <c r="K33" i="8"/>
  <c r="J33" i="8"/>
  <c r="I33" i="8"/>
  <c r="H33" i="8"/>
  <c r="G33" i="8"/>
  <c r="F33" i="8"/>
  <c r="E33" i="8"/>
  <c r="D33" i="8"/>
  <c r="C33" i="8"/>
  <c r="B33" i="8"/>
  <c r="K32" i="8"/>
  <c r="J32" i="8"/>
  <c r="I32" i="8"/>
  <c r="H32" i="8"/>
  <c r="G32" i="8"/>
  <c r="F32" i="8"/>
  <c r="E32" i="8"/>
  <c r="D32" i="8"/>
  <c r="C32" i="8"/>
  <c r="B32" i="8"/>
  <c r="K31" i="8"/>
  <c r="J31" i="8"/>
  <c r="I31" i="8"/>
  <c r="H31" i="8"/>
  <c r="G31" i="8"/>
  <c r="F31" i="8"/>
  <c r="E31" i="8"/>
  <c r="D31" i="8"/>
  <c r="C31" i="8"/>
  <c r="B31" i="8"/>
  <c r="K30" i="8"/>
  <c r="J30" i="8"/>
  <c r="I30" i="8"/>
  <c r="H30" i="8"/>
  <c r="G30" i="8"/>
  <c r="F30" i="8"/>
  <c r="E30" i="8"/>
  <c r="D30" i="8"/>
  <c r="C30" i="8"/>
  <c r="B30" i="8"/>
  <c r="K29" i="8"/>
  <c r="J29" i="8"/>
  <c r="I29" i="8"/>
  <c r="H29" i="8"/>
  <c r="G29" i="8"/>
  <c r="F29" i="8"/>
  <c r="E29" i="8"/>
  <c r="D29" i="8"/>
  <c r="C29" i="8"/>
  <c r="B29" i="8"/>
  <c r="K28" i="8"/>
  <c r="J28" i="8"/>
  <c r="I28" i="8"/>
  <c r="H28" i="8"/>
  <c r="G28" i="8"/>
  <c r="F28" i="8"/>
  <c r="E28" i="8"/>
  <c r="D28" i="8"/>
  <c r="C28" i="8"/>
  <c r="B28" i="8"/>
  <c r="K27" i="8"/>
  <c r="J27" i="8"/>
  <c r="I27" i="8"/>
  <c r="H27" i="8"/>
  <c r="G27" i="8"/>
  <c r="F27" i="8"/>
  <c r="E27" i="8"/>
  <c r="D27" i="8"/>
  <c r="C27" i="8"/>
  <c r="B27" i="8"/>
  <c r="K26" i="8"/>
  <c r="J26" i="8"/>
  <c r="I26" i="8"/>
  <c r="H26" i="8"/>
  <c r="G26" i="8"/>
  <c r="F26" i="8"/>
  <c r="E26" i="8"/>
  <c r="D26" i="8"/>
  <c r="C26" i="8"/>
  <c r="B26" i="8"/>
  <c r="K25" i="8"/>
  <c r="J25" i="8"/>
  <c r="I25" i="8"/>
  <c r="H25" i="8"/>
  <c r="G25" i="8"/>
  <c r="F25" i="8"/>
  <c r="E25" i="8"/>
  <c r="D25" i="8"/>
  <c r="C25" i="8"/>
  <c r="B25" i="8"/>
  <c r="K24" i="8"/>
  <c r="J24" i="8"/>
  <c r="I24" i="8"/>
  <c r="H24" i="8"/>
  <c r="G24" i="8"/>
  <c r="F24" i="8"/>
  <c r="E24" i="8"/>
  <c r="D24" i="8"/>
  <c r="C24" i="8"/>
  <c r="B24" i="8"/>
  <c r="K23" i="8"/>
  <c r="J23" i="8"/>
  <c r="I23" i="8"/>
  <c r="H23" i="8"/>
  <c r="G23" i="8"/>
  <c r="F23" i="8"/>
  <c r="E23" i="8"/>
  <c r="D23" i="8"/>
  <c r="C23" i="8"/>
  <c r="B23" i="8"/>
  <c r="K22" i="8"/>
  <c r="J22" i="8"/>
  <c r="I22" i="8"/>
  <c r="H22" i="8"/>
  <c r="G22" i="8"/>
  <c r="F22" i="8"/>
  <c r="E22" i="8"/>
  <c r="D22" i="8"/>
  <c r="C22" i="8"/>
  <c r="B22" i="8"/>
  <c r="G73" i="7"/>
  <c r="G72" i="7"/>
  <c r="G71" i="7"/>
  <c r="G70" i="7"/>
  <c r="G69" i="7"/>
  <c r="G68" i="7"/>
  <c r="G67" i="7"/>
  <c r="G66" i="7"/>
  <c r="G65" i="7"/>
  <c r="G64" i="7"/>
  <c r="G63" i="7"/>
  <c r="G62" i="7"/>
  <c r="H62" i="7" s="1"/>
  <c r="I62" i="7" s="1"/>
  <c r="J62" i="7" s="1"/>
  <c r="K62" i="7" s="1"/>
  <c r="G61" i="7"/>
  <c r="H61" i="7" s="1"/>
  <c r="I61" i="7" s="1"/>
  <c r="J61" i="7" s="1"/>
  <c r="K61" i="7" s="1"/>
  <c r="G60" i="7"/>
  <c r="H60" i="7" s="1"/>
  <c r="I60" i="7" s="1"/>
  <c r="J60" i="7" s="1"/>
  <c r="K60" i="7" s="1"/>
  <c r="G59" i="7"/>
  <c r="H59" i="7" s="1"/>
  <c r="I59" i="7" s="1"/>
  <c r="J59" i="7" s="1"/>
  <c r="K59" i="7" s="1"/>
  <c r="G58" i="7"/>
  <c r="H58" i="7" s="1"/>
  <c r="I58" i="7" s="1"/>
  <c r="J58" i="7" s="1"/>
  <c r="K58" i="7" s="1"/>
  <c r="G57" i="7"/>
  <c r="H57" i="7" s="1"/>
  <c r="I57" i="7" s="1"/>
  <c r="J57" i="7" s="1"/>
  <c r="K57" i="7" s="1"/>
  <c r="K56" i="7"/>
  <c r="J56" i="7"/>
  <c r="I56" i="7"/>
  <c r="H56" i="7"/>
  <c r="G56" i="7"/>
  <c r="G55" i="7"/>
  <c r="H55" i="7" s="1"/>
  <c r="I55" i="7" s="1"/>
  <c r="J55" i="7" s="1"/>
  <c r="K55" i="7" s="1"/>
  <c r="G54" i="7"/>
  <c r="H54" i="7" s="1"/>
  <c r="I54" i="7" s="1"/>
  <c r="J54" i="7" s="1"/>
  <c r="K54" i="7" s="1"/>
  <c r="G53" i="7"/>
  <c r="H53" i="7" s="1"/>
  <c r="I53" i="7" s="1"/>
  <c r="J53" i="7" s="1"/>
  <c r="K53" i="7" s="1"/>
  <c r="G52" i="7"/>
  <c r="H52" i="7" s="1"/>
  <c r="I52" i="7" s="1"/>
  <c r="J52" i="7" s="1"/>
  <c r="K52" i="7" s="1"/>
  <c r="G51" i="7"/>
  <c r="H51" i="7" s="1"/>
  <c r="I51" i="7" s="1"/>
  <c r="J51" i="7" s="1"/>
  <c r="K51" i="7" s="1"/>
  <c r="G50" i="7"/>
  <c r="H50" i="7" s="1"/>
  <c r="I50" i="7" s="1"/>
  <c r="J50" i="7" s="1"/>
  <c r="K50" i="7" s="1"/>
  <c r="G49" i="7"/>
  <c r="H49" i="7" s="1"/>
  <c r="I49" i="7" s="1"/>
  <c r="J49" i="7" s="1"/>
  <c r="K49" i="7" s="1"/>
  <c r="G48" i="7"/>
  <c r="H48" i="7" s="1"/>
  <c r="I48" i="7" s="1"/>
  <c r="J48" i="7" s="1"/>
  <c r="K48" i="7" s="1"/>
  <c r="G47" i="7"/>
  <c r="H47" i="7" s="1"/>
  <c r="I47" i="7" s="1"/>
  <c r="J47" i="7" s="1"/>
  <c r="K47" i="7" s="1"/>
  <c r="K46" i="7"/>
  <c r="J46" i="7"/>
  <c r="I46" i="7"/>
  <c r="H46" i="7"/>
  <c r="G46" i="7"/>
  <c r="G45" i="7"/>
  <c r="H45" i="7" s="1"/>
  <c r="I45" i="7" s="1"/>
  <c r="J45" i="7" s="1"/>
  <c r="K45" i="7" s="1"/>
  <c r="G44" i="7"/>
  <c r="H44" i="7" s="1"/>
  <c r="I44" i="7" s="1"/>
  <c r="J44" i="7" s="1"/>
  <c r="K44" i="7" s="1"/>
  <c r="G43" i="7"/>
  <c r="H43" i="7" s="1"/>
  <c r="I43" i="7" s="1"/>
  <c r="J43" i="7" s="1"/>
  <c r="K43" i="7" s="1"/>
  <c r="G42" i="7"/>
  <c r="H42" i="7" s="1"/>
  <c r="I42" i="7" s="1"/>
  <c r="J42" i="7" s="1"/>
  <c r="K42" i="7" s="1"/>
  <c r="K41" i="7"/>
  <c r="J41" i="7"/>
  <c r="I41" i="7"/>
  <c r="H41" i="7"/>
  <c r="G41" i="7"/>
  <c r="K40" i="7"/>
  <c r="J40" i="7"/>
  <c r="I40" i="7"/>
  <c r="H40" i="7"/>
  <c r="G40" i="7"/>
  <c r="G39" i="7"/>
  <c r="H39" i="7" s="1"/>
  <c r="I39" i="7" s="1"/>
  <c r="J39" i="7" s="1"/>
  <c r="K39" i="7" s="1"/>
  <c r="B34" i="7"/>
  <c r="C34" i="7" s="1"/>
  <c r="D34" i="7" s="1"/>
  <c r="E34" i="7" s="1"/>
  <c r="F34" i="7" s="1"/>
  <c r="G34" i="7" s="1"/>
  <c r="B33" i="7"/>
  <c r="C33" i="7" s="1"/>
  <c r="D33" i="7" s="1"/>
  <c r="E33" i="7" s="1"/>
  <c r="F33" i="7" s="1"/>
  <c r="G33" i="7" s="1"/>
  <c r="B32" i="7"/>
  <c r="C32" i="7" s="1"/>
  <c r="D32" i="7" s="1"/>
  <c r="E32" i="7" s="1"/>
  <c r="F32" i="7" s="1"/>
  <c r="G32" i="7" s="1"/>
  <c r="B31" i="7"/>
  <c r="C31" i="7" s="1"/>
  <c r="D31" i="7" s="1"/>
  <c r="E31" i="7" s="1"/>
  <c r="F31" i="7" s="1"/>
  <c r="G31" i="7" s="1"/>
  <c r="B30" i="7"/>
  <c r="C30" i="7" s="1"/>
  <c r="D30" i="7" s="1"/>
  <c r="E30" i="7" s="1"/>
  <c r="F30" i="7" s="1"/>
  <c r="G30" i="7" s="1"/>
  <c r="B29" i="7"/>
  <c r="C29" i="7" s="1"/>
  <c r="D29" i="7" s="1"/>
  <c r="E29" i="7" s="1"/>
  <c r="F29" i="7" s="1"/>
  <c r="G29" i="7" s="1"/>
  <c r="B28" i="7"/>
  <c r="C28" i="7" s="1"/>
  <c r="D28" i="7" s="1"/>
  <c r="E28" i="7" s="1"/>
  <c r="F28" i="7" s="1"/>
  <c r="G28" i="7" s="1"/>
  <c r="B27" i="7"/>
  <c r="C27" i="7" s="1"/>
  <c r="D27" i="7" s="1"/>
  <c r="E27" i="7" s="1"/>
  <c r="F27" i="7" s="1"/>
  <c r="G27" i="7" s="1"/>
  <c r="B26" i="7"/>
  <c r="C26" i="7" s="1"/>
  <c r="D26" i="7" s="1"/>
  <c r="E26" i="7" s="1"/>
  <c r="F26" i="7" s="1"/>
  <c r="G26" i="7" s="1"/>
  <c r="B25" i="7"/>
  <c r="C25" i="7" s="1"/>
  <c r="D25" i="7" s="1"/>
  <c r="E25" i="7" s="1"/>
  <c r="F25" i="7" s="1"/>
  <c r="G25" i="7" s="1"/>
  <c r="B24" i="7"/>
  <c r="C24" i="7" s="1"/>
  <c r="D24" i="7" s="1"/>
  <c r="E24" i="7" s="1"/>
  <c r="F24" i="7" s="1"/>
  <c r="G24" i="7" s="1"/>
  <c r="B23" i="7"/>
  <c r="C23" i="7" s="1"/>
  <c r="D23" i="7" s="1"/>
  <c r="E23" i="7" s="1"/>
  <c r="F23" i="7" s="1"/>
  <c r="G23" i="7" s="1"/>
  <c r="B22" i="7"/>
  <c r="C22" i="7" s="1"/>
  <c r="D22" i="7" s="1"/>
  <c r="E22" i="7" s="1"/>
  <c r="F22" i="7" s="1"/>
  <c r="G22" i="7" s="1"/>
  <c r="B21" i="7"/>
  <c r="C21" i="7" s="1"/>
  <c r="D21" i="7" s="1"/>
  <c r="E21" i="7" s="1"/>
  <c r="F21" i="7" s="1"/>
  <c r="G21" i="7" s="1"/>
  <c r="B20" i="7"/>
  <c r="C20" i="7" s="1"/>
  <c r="D20" i="7" s="1"/>
  <c r="E20" i="7" s="1"/>
  <c r="F20" i="7" s="1"/>
  <c r="G20" i="7" s="1"/>
  <c r="B19" i="7"/>
  <c r="C19" i="7" s="1"/>
  <c r="D19" i="7" s="1"/>
  <c r="E19" i="7" s="1"/>
  <c r="F19" i="7" s="1"/>
  <c r="G19" i="7" s="1"/>
  <c r="B18" i="7"/>
  <c r="C18" i="7" s="1"/>
  <c r="D18" i="7" s="1"/>
  <c r="E18" i="7" s="1"/>
  <c r="F18" i="7" s="1"/>
  <c r="G18" i="7" s="1"/>
  <c r="B17" i="7"/>
  <c r="C17" i="7" s="1"/>
  <c r="D17" i="7" s="1"/>
  <c r="E17" i="7" s="1"/>
  <c r="F17" i="7" s="1"/>
  <c r="G17" i="7" s="1"/>
  <c r="B16" i="7"/>
  <c r="C16" i="7" s="1"/>
  <c r="D16" i="7" s="1"/>
  <c r="E16" i="7" s="1"/>
  <c r="F16" i="7" s="1"/>
  <c r="G16" i="7" s="1"/>
  <c r="B15" i="7"/>
  <c r="C15" i="7" s="1"/>
  <c r="D15" i="7" s="1"/>
  <c r="E15" i="7" s="1"/>
  <c r="F15" i="7" s="1"/>
  <c r="G15" i="7" s="1"/>
  <c r="F10" i="7"/>
  <c r="D10" i="7"/>
  <c r="F9" i="7"/>
  <c r="D9" i="7"/>
  <c r="F8" i="7"/>
  <c r="D8" i="7"/>
  <c r="F7" i="7"/>
  <c r="D7" i="7"/>
  <c r="F6" i="7"/>
  <c r="D6" i="7"/>
  <c r="B6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F36" i="6"/>
  <c r="E36" i="6"/>
  <c r="D36" i="6"/>
  <c r="C36" i="6"/>
  <c r="B36" i="6"/>
  <c r="G28" i="6"/>
  <c r="F28" i="6"/>
  <c r="E28" i="6"/>
  <c r="D28" i="6"/>
  <c r="C28" i="6"/>
  <c r="G27" i="6"/>
  <c r="F27" i="6"/>
  <c r="E27" i="6"/>
  <c r="D27" i="6"/>
  <c r="C27" i="6"/>
  <c r="G26" i="6"/>
  <c r="F26" i="6"/>
  <c r="E26" i="6"/>
  <c r="D26" i="6"/>
  <c r="C26" i="6"/>
  <c r="G25" i="6"/>
  <c r="F25" i="6"/>
  <c r="E25" i="6"/>
  <c r="D25" i="6"/>
  <c r="C25" i="6"/>
  <c r="G24" i="6"/>
  <c r="F24" i="6"/>
  <c r="E24" i="6"/>
  <c r="D24" i="6"/>
  <c r="C24" i="6"/>
  <c r="G10" i="6"/>
  <c r="F10" i="6"/>
  <c r="E10" i="6"/>
  <c r="D10" i="6"/>
  <c r="C10" i="6"/>
  <c r="G9" i="6"/>
  <c r="F9" i="6"/>
  <c r="E9" i="6"/>
  <c r="D9" i="6"/>
  <c r="C9" i="6"/>
  <c r="G8" i="6"/>
  <c r="F8" i="6"/>
  <c r="E8" i="6"/>
  <c r="D8" i="6"/>
  <c r="C8" i="6"/>
  <c r="G7" i="6"/>
  <c r="F7" i="6"/>
  <c r="E7" i="6"/>
  <c r="D7" i="6"/>
  <c r="C7" i="6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J70" i="5" s="1"/>
  <c r="B65" i="5"/>
  <c r="B64" i="5"/>
  <c r="B63" i="5"/>
  <c r="B62" i="5"/>
  <c r="B61" i="5"/>
  <c r="B60" i="5"/>
  <c r="B59" i="5"/>
  <c r="B58" i="5"/>
  <c r="B57" i="5"/>
  <c r="B56" i="5"/>
  <c r="J55" i="5"/>
  <c r="I55" i="5"/>
  <c r="H55" i="5"/>
  <c r="G55" i="5"/>
  <c r="F55" i="5"/>
  <c r="E55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D6" i="5"/>
  <c r="E6" i="5" s="1"/>
  <c r="E7" i="5" s="1"/>
  <c r="E8" i="5" s="1"/>
  <c r="E9" i="5" s="1"/>
  <c r="E10" i="5" s="1"/>
  <c r="E11" i="5" s="1"/>
  <c r="E12" i="5" s="1"/>
  <c r="E13" i="5" s="1"/>
  <c r="E14" i="5" s="1"/>
  <c r="B32" i="4"/>
  <c r="B29" i="4"/>
  <c r="B28" i="4"/>
  <c r="B27" i="4"/>
  <c r="B26" i="4"/>
  <c r="B23" i="4"/>
  <c r="B21" i="4"/>
  <c r="B20" i="4"/>
  <c r="B17" i="4"/>
  <c r="B16" i="4"/>
  <c r="B18" i="4" s="1"/>
  <c r="B19" i="4" s="1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J35" i="2"/>
  <c r="I35" i="2"/>
  <c r="H35" i="2"/>
  <c r="G35" i="2"/>
  <c r="F35" i="2"/>
  <c r="C35" i="2"/>
  <c r="B35" i="2"/>
  <c r="J34" i="2"/>
  <c r="I34" i="2"/>
  <c r="H34" i="2"/>
  <c r="G34" i="2"/>
  <c r="F34" i="2"/>
  <c r="C34" i="2"/>
  <c r="B34" i="2"/>
  <c r="J33" i="2"/>
  <c r="I33" i="2"/>
  <c r="H33" i="2"/>
  <c r="G33" i="2"/>
  <c r="F33" i="2"/>
  <c r="C33" i="2"/>
  <c r="B33" i="2"/>
  <c r="J32" i="2"/>
  <c r="I32" i="2"/>
  <c r="H32" i="2"/>
  <c r="G32" i="2"/>
  <c r="F32" i="2"/>
  <c r="C32" i="2"/>
  <c r="B32" i="2"/>
  <c r="J31" i="2"/>
  <c r="I31" i="2"/>
  <c r="H31" i="2"/>
  <c r="G31" i="2"/>
  <c r="F31" i="2"/>
  <c r="C31" i="2"/>
  <c r="B31" i="2"/>
  <c r="J30" i="2"/>
  <c r="I30" i="2"/>
  <c r="H30" i="2"/>
  <c r="G30" i="2"/>
  <c r="F30" i="2"/>
  <c r="C30" i="2"/>
  <c r="B30" i="2"/>
  <c r="J29" i="2"/>
  <c r="I29" i="2"/>
  <c r="H29" i="2"/>
  <c r="G29" i="2"/>
  <c r="F29" i="2"/>
  <c r="C29" i="2"/>
  <c r="B29" i="2"/>
  <c r="J28" i="2"/>
  <c r="I28" i="2"/>
  <c r="H28" i="2"/>
  <c r="G28" i="2"/>
  <c r="F28" i="2"/>
  <c r="C28" i="2"/>
  <c r="B28" i="2"/>
  <c r="J27" i="2"/>
  <c r="I27" i="2"/>
  <c r="H27" i="2"/>
  <c r="G27" i="2"/>
  <c r="F27" i="2"/>
  <c r="C27" i="2"/>
  <c r="B27" i="2"/>
  <c r="J26" i="2"/>
  <c r="I26" i="2"/>
  <c r="H26" i="2"/>
  <c r="G26" i="2"/>
  <c r="F26" i="2"/>
  <c r="C26" i="2"/>
  <c r="B26" i="2"/>
  <c r="J25" i="2"/>
  <c r="I25" i="2"/>
  <c r="H25" i="2"/>
  <c r="G25" i="2"/>
  <c r="F25" i="2"/>
  <c r="C25" i="2"/>
  <c r="B25" i="2"/>
  <c r="J24" i="2"/>
  <c r="I24" i="2"/>
  <c r="H24" i="2"/>
  <c r="G24" i="2"/>
  <c r="F24" i="2"/>
  <c r="C24" i="2"/>
  <c r="B24" i="2"/>
  <c r="J23" i="2"/>
  <c r="I23" i="2"/>
  <c r="H23" i="2"/>
  <c r="G23" i="2"/>
  <c r="F23" i="2"/>
  <c r="C23" i="2"/>
  <c r="B23" i="2"/>
  <c r="J22" i="2"/>
  <c r="I22" i="2"/>
  <c r="H22" i="2"/>
  <c r="G22" i="2"/>
  <c r="F22" i="2"/>
  <c r="C22" i="2"/>
  <c r="B22" i="2"/>
  <c r="J21" i="2"/>
  <c r="I21" i="2"/>
  <c r="H21" i="2"/>
  <c r="G21" i="2"/>
  <c r="F21" i="2"/>
  <c r="C21" i="2"/>
  <c r="B21" i="2"/>
  <c r="J20" i="2"/>
  <c r="I20" i="2"/>
  <c r="H20" i="2"/>
  <c r="G20" i="2"/>
  <c r="F20" i="2"/>
  <c r="C20" i="2"/>
  <c r="B20" i="2"/>
  <c r="J19" i="2"/>
  <c r="I19" i="2"/>
  <c r="H19" i="2"/>
  <c r="G19" i="2"/>
  <c r="F19" i="2"/>
  <c r="C19" i="2"/>
  <c r="B19" i="2"/>
  <c r="J18" i="2"/>
  <c r="I18" i="2"/>
  <c r="H18" i="2"/>
  <c r="G18" i="2"/>
  <c r="F18" i="2"/>
  <c r="C18" i="2"/>
  <c r="B18" i="2"/>
  <c r="J17" i="2"/>
  <c r="I17" i="2"/>
  <c r="H17" i="2"/>
  <c r="G17" i="2"/>
  <c r="F17" i="2"/>
  <c r="C17" i="2"/>
  <c r="B17" i="2"/>
  <c r="J16" i="2"/>
  <c r="I16" i="2"/>
  <c r="H16" i="2"/>
  <c r="G16" i="2"/>
  <c r="F16" i="2"/>
  <c r="C16" i="2"/>
  <c r="B16" i="2"/>
  <c r="E15" i="5" l="1"/>
  <c r="E16" i="5" s="1"/>
  <c r="E17" i="5" s="1"/>
  <c r="E18" i="5" s="1"/>
  <c r="E19" i="5" s="1"/>
  <c r="E20" i="5" s="1"/>
  <c r="D82" i="5"/>
  <c r="E82" i="5" s="1"/>
  <c r="J82" i="5"/>
  <c r="H82" i="5"/>
  <c r="I82" i="5" s="1"/>
  <c r="F82" i="5"/>
  <c r="G82" i="5" s="1"/>
  <c r="D55" i="5"/>
  <c r="C55" i="5"/>
  <c r="J43" i="5"/>
  <c r="I43" i="5"/>
  <c r="H43" i="5"/>
  <c r="G43" i="5"/>
  <c r="F43" i="5"/>
  <c r="B16" i="9"/>
  <c r="B17" i="9"/>
  <c r="B62" i="8"/>
  <c r="B64" i="8" s="1"/>
  <c r="D84" i="5"/>
  <c r="E84" i="5" s="1"/>
  <c r="F84" i="5"/>
  <c r="G84" i="5" s="1"/>
  <c r="H84" i="5"/>
  <c r="I84" i="5" s="1"/>
  <c r="J84" i="5"/>
  <c r="D83" i="5"/>
  <c r="E83" i="5" s="1"/>
  <c r="J83" i="5"/>
  <c r="H83" i="5"/>
  <c r="I83" i="5" s="1"/>
  <c r="F83" i="5"/>
  <c r="G83" i="5" s="1"/>
  <c r="H81" i="5"/>
  <c r="I81" i="5" s="1"/>
  <c r="J81" i="5"/>
  <c r="F81" i="5"/>
  <c r="G81" i="5" s="1"/>
  <c r="D81" i="5"/>
  <c r="E81" i="5" s="1"/>
  <c r="J80" i="5"/>
  <c r="D80" i="5"/>
  <c r="E80" i="5" s="1"/>
  <c r="F80" i="5"/>
  <c r="G80" i="5" s="1"/>
  <c r="H80" i="5"/>
  <c r="I80" i="5" s="1"/>
  <c r="J79" i="5"/>
  <c r="H79" i="5"/>
  <c r="I79" i="5" s="1"/>
  <c r="F79" i="5"/>
  <c r="G79" i="5" s="1"/>
  <c r="D79" i="5"/>
  <c r="E79" i="5" s="1"/>
  <c r="F78" i="5"/>
  <c r="G78" i="5" s="1"/>
  <c r="J78" i="5"/>
  <c r="D78" i="5"/>
  <c r="E78" i="5" s="1"/>
  <c r="H78" i="5"/>
  <c r="I78" i="5" s="1"/>
  <c r="J77" i="5"/>
  <c r="H77" i="5"/>
  <c r="I77" i="5" s="1"/>
  <c r="F77" i="5"/>
  <c r="G77" i="5" s="1"/>
  <c r="D77" i="5"/>
  <c r="E77" i="5" s="1"/>
  <c r="J76" i="5"/>
  <c r="H76" i="5"/>
  <c r="I76" i="5" s="1"/>
  <c r="F76" i="5"/>
  <c r="G76" i="5" s="1"/>
  <c r="D76" i="5"/>
  <c r="E76" i="5" s="1"/>
  <c r="J75" i="5"/>
  <c r="H75" i="5"/>
  <c r="I75" i="5" s="1"/>
  <c r="F75" i="5"/>
  <c r="G75" i="5" s="1"/>
  <c r="D75" i="5"/>
  <c r="E75" i="5" s="1"/>
  <c r="J74" i="5"/>
  <c r="H74" i="5"/>
  <c r="I74" i="5" s="1"/>
  <c r="F74" i="5"/>
  <c r="G74" i="5" s="1"/>
  <c r="D74" i="5"/>
  <c r="E74" i="5" s="1"/>
  <c r="H73" i="5"/>
  <c r="I73" i="5" s="1"/>
  <c r="F73" i="5"/>
  <c r="G73" i="5" s="1"/>
  <c r="D73" i="5"/>
  <c r="E73" i="5" s="1"/>
  <c r="J73" i="5"/>
  <c r="D72" i="5"/>
  <c r="E72" i="5" s="1"/>
  <c r="J72" i="5"/>
  <c r="H72" i="5"/>
  <c r="I72" i="5" s="1"/>
  <c r="F72" i="5"/>
  <c r="G72" i="5" s="1"/>
  <c r="F71" i="5"/>
  <c r="G71" i="5" s="1"/>
  <c r="D71" i="5"/>
  <c r="E71" i="5" s="1"/>
  <c r="J71" i="5"/>
  <c r="H71" i="5"/>
  <c r="I71" i="5" s="1"/>
  <c r="D70" i="5"/>
  <c r="E70" i="5" s="1"/>
  <c r="H70" i="5"/>
  <c r="I70" i="5" s="1"/>
  <c r="F70" i="5"/>
  <c r="G70" i="5" s="1"/>
  <c r="J65" i="5"/>
  <c r="I65" i="5"/>
  <c r="H65" i="5"/>
  <c r="G65" i="5"/>
  <c r="F65" i="5"/>
  <c r="E65" i="5"/>
  <c r="D65" i="5"/>
  <c r="C65" i="5"/>
  <c r="H64" i="5"/>
  <c r="G64" i="5"/>
  <c r="F64" i="5"/>
  <c r="E64" i="5"/>
  <c r="D64" i="5"/>
  <c r="C64" i="5"/>
  <c r="J64" i="5"/>
  <c r="I64" i="5"/>
  <c r="D63" i="5"/>
  <c r="H63" i="5"/>
  <c r="I63" i="5"/>
  <c r="J63" i="5"/>
  <c r="C63" i="5"/>
  <c r="F63" i="5"/>
  <c r="E63" i="5"/>
  <c r="G63" i="5"/>
  <c r="I62" i="5"/>
  <c r="H62" i="5"/>
  <c r="G62" i="5"/>
  <c r="F62" i="5"/>
  <c r="E62" i="5"/>
  <c r="D62" i="5"/>
  <c r="C62" i="5"/>
  <c r="J62" i="5"/>
  <c r="I61" i="5"/>
  <c r="J61" i="5"/>
  <c r="H61" i="5"/>
  <c r="G61" i="5"/>
  <c r="F61" i="5"/>
  <c r="E61" i="5"/>
  <c r="D61" i="5"/>
  <c r="C61" i="5"/>
  <c r="C60" i="5"/>
  <c r="J60" i="5"/>
  <c r="I60" i="5"/>
  <c r="H60" i="5"/>
  <c r="G60" i="5"/>
  <c r="F60" i="5"/>
  <c r="E60" i="5"/>
  <c r="D60" i="5"/>
  <c r="C59" i="5"/>
  <c r="D59" i="5"/>
  <c r="E59" i="5"/>
  <c r="F59" i="5"/>
  <c r="G59" i="5"/>
  <c r="H59" i="5"/>
  <c r="I59" i="5"/>
  <c r="J59" i="5"/>
  <c r="F58" i="5"/>
  <c r="G58" i="5"/>
  <c r="H58" i="5"/>
  <c r="I58" i="5"/>
  <c r="J58" i="5"/>
  <c r="E58" i="5"/>
  <c r="D58" i="5"/>
  <c r="C58" i="5"/>
  <c r="J57" i="5"/>
  <c r="I57" i="5"/>
  <c r="H57" i="5"/>
  <c r="G57" i="5"/>
  <c r="F57" i="5"/>
  <c r="E57" i="5"/>
  <c r="D57" i="5"/>
  <c r="C57" i="5"/>
  <c r="J56" i="5"/>
  <c r="I56" i="5"/>
  <c r="H56" i="5"/>
  <c r="G56" i="5"/>
  <c r="F56" i="5"/>
  <c r="E56" i="5"/>
  <c r="D56" i="5"/>
  <c r="C56" i="5"/>
  <c r="J54" i="5"/>
  <c r="I54" i="5"/>
  <c r="H54" i="5"/>
  <c r="G54" i="5"/>
  <c r="F54" i="5"/>
  <c r="E54" i="5"/>
  <c r="D54" i="5"/>
  <c r="C54" i="5"/>
  <c r="J53" i="5"/>
  <c r="I53" i="5"/>
  <c r="H53" i="5"/>
  <c r="G53" i="5"/>
  <c r="F53" i="5"/>
  <c r="E53" i="5"/>
  <c r="D53" i="5"/>
  <c r="C53" i="5"/>
  <c r="F52" i="5"/>
  <c r="J52" i="5"/>
  <c r="I52" i="5"/>
  <c r="H52" i="5"/>
  <c r="G52" i="5"/>
  <c r="E52" i="5"/>
  <c r="D52" i="5"/>
  <c r="C52" i="5"/>
  <c r="J51" i="5"/>
  <c r="I51" i="5"/>
  <c r="H51" i="5"/>
  <c r="G51" i="5"/>
  <c r="F51" i="5"/>
  <c r="E51" i="5"/>
  <c r="D51" i="5"/>
  <c r="C51" i="5"/>
  <c r="C50" i="5"/>
  <c r="J50" i="5"/>
  <c r="I50" i="5"/>
  <c r="H50" i="5"/>
  <c r="G50" i="5"/>
  <c r="F50" i="5"/>
  <c r="E50" i="5"/>
  <c r="D50" i="5"/>
  <c r="H49" i="5"/>
  <c r="I49" i="5"/>
  <c r="J49" i="5"/>
  <c r="C49" i="5"/>
  <c r="D49" i="5"/>
  <c r="E49" i="5"/>
  <c r="F49" i="5"/>
  <c r="G49" i="5"/>
  <c r="H48" i="5"/>
  <c r="E48" i="5"/>
  <c r="F48" i="5"/>
  <c r="G48" i="5"/>
  <c r="D48" i="5"/>
  <c r="C48" i="5"/>
  <c r="I48" i="5"/>
  <c r="J48" i="5"/>
  <c r="C47" i="5"/>
  <c r="J47" i="5"/>
  <c r="I47" i="5"/>
  <c r="H47" i="5"/>
  <c r="G47" i="5"/>
  <c r="F47" i="5"/>
  <c r="E47" i="5"/>
  <c r="D47" i="5"/>
  <c r="F46" i="5"/>
  <c r="J46" i="5"/>
  <c r="I46" i="5"/>
  <c r="H46" i="5"/>
  <c r="C46" i="5"/>
  <c r="D46" i="5"/>
  <c r="E46" i="5"/>
  <c r="G46" i="5"/>
  <c r="E45" i="5"/>
  <c r="I45" i="5"/>
  <c r="C45" i="5"/>
  <c r="D45" i="5"/>
  <c r="F45" i="5"/>
  <c r="G45" i="5"/>
  <c r="H45" i="5"/>
  <c r="J45" i="5"/>
  <c r="H44" i="5"/>
  <c r="G44" i="5"/>
  <c r="E44" i="5"/>
  <c r="C44" i="5"/>
  <c r="D44" i="5"/>
  <c r="F44" i="5"/>
  <c r="J44" i="5"/>
  <c r="I44" i="5"/>
  <c r="C43" i="5"/>
  <c r="D43" i="5"/>
  <c r="E43" i="5"/>
  <c r="F42" i="5"/>
  <c r="C42" i="5"/>
  <c r="I42" i="5"/>
  <c r="E42" i="5"/>
  <c r="D42" i="5"/>
  <c r="J42" i="5"/>
  <c r="H42" i="5"/>
  <c r="G42" i="5"/>
  <c r="D41" i="5"/>
  <c r="E41" i="5"/>
  <c r="F41" i="5"/>
  <c r="J41" i="5"/>
  <c r="I41" i="5"/>
  <c r="H41" i="5"/>
  <c r="G41" i="5"/>
  <c r="C41" i="5"/>
  <c r="E40" i="5"/>
  <c r="C40" i="5"/>
  <c r="G40" i="5"/>
  <c r="J40" i="5"/>
  <c r="I40" i="5"/>
  <c r="H40" i="5"/>
  <c r="F40" i="5"/>
  <c r="D40" i="5"/>
  <c r="H39" i="5"/>
  <c r="G39" i="5"/>
  <c r="F39" i="5"/>
  <c r="E39" i="5"/>
  <c r="D39" i="5"/>
  <c r="C39" i="5"/>
  <c r="J39" i="5"/>
  <c r="I39" i="5"/>
  <c r="C38" i="5"/>
  <c r="D38" i="5"/>
  <c r="E38" i="5"/>
  <c r="F38" i="5"/>
  <c r="G38" i="5"/>
  <c r="H38" i="5"/>
  <c r="I38" i="5"/>
  <c r="J38" i="5"/>
  <c r="C37" i="5"/>
  <c r="D37" i="5"/>
  <c r="E37" i="5"/>
  <c r="F37" i="5"/>
  <c r="G37" i="5"/>
  <c r="H37" i="5"/>
  <c r="I37" i="5"/>
  <c r="J37" i="5"/>
  <c r="C36" i="5"/>
  <c r="D36" i="5"/>
  <c r="E36" i="5"/>
  <c r="F36" i="5"/>
  <c r="G36" i="5"/>
  <c r="H36" i="5"/>
  <c r="I36" i="5"/>
  <c r="J36" i="5"/>
  <c r="F35" i="5"/>
  <c r="E35" i="5"/>
  <c r="D35" i="5"/>
  <c r="C35" i="5"/>
  <c r="J35" i="5"/>
  <c r="I35" i="5"/>
  <c r="H35" i="5"/>
  <c r="G35" i="5"/>
  <c r="H34" i="5"/>
  <c r="G34" i="5"/>
  <c r="F34" i="5"/>
  <c r="E34" i="5"/>
  <c r="C34" i="5"/>
  <c r="D34" i="5"/>
  <c r="J34" i="5"/>
  <c r="I34" i="5"/>
  <c r="C33" i="5"/>
  <c r="D33" i="5"/>
  <c r="E33" i="5"/>
  <c r="F33" i="5"/>
  <c r="H33" i="5"/>
  <c r="I33" i="5"/>
  <c r="J33" i="5"/>
  <c r="G33" i="5"/>
  <c r="G32" i="5"/>
  <c r="F32" i="5"/>
  <c r="E32" i="5"/>
  <c r="D32" i="5"/>
  <c r="H32" i="5"/>
  <c r="J32" i="5"/>
  <c r="I32" i="5"/>
  <c r="C32" i="5"/>
  <c r="C31" i="5"/>
  <c r="J31" i="5"/>
  <c r="I31" i="5"/>
  <c r="H31" i="5"/>
  <c r="G31" i="5"/>
  <c r="F31" i="5"/>
  <c r="E31" i="5"/>
  <c r="D31" i="5"/>
  <c r="H30" i="5"/>
  <c r="G30" i="5"/>
  <c r="F30" i="5"/>
  <c r="E30" i="5"/>
  <c r="D30" i="5"/>
  <c r="C30" i="5"/>
  <c r="J30" i="5"/>
  <c r="I30" i="5"/>
  <c r="D29" i="5"/>
  <c r="E29" i="5"/>
  <c r="F29" i="5"/>
  <c r="H29" i="5"/>
  <c r="I29" i="5"/>
  <c r="G29" i="5"/>
  <c r="C29" i="5"/>
  <c r="J29" i="5"/>
  <c r="D28" i="5"/>
  <c r="C28" i="5"/>
  <c r="E28" i="5"/>
  <c r="F28" i="5"/>
  <c r="G28" i="5"/>
  <c r="H28" i="5"/>
  <c r="I28" i="5"/>
  <c r="J28" i="5"/>
  <c r="E27" i="5"/>
  <c r="F27" i="5"/>
  <c r="H27" i="5"/>
  <c r="I27" i="5"/>
  <c r="J27" i="5"/>
  <c r="G27" i="5"/>
  <c r="C27" i="5"/>
  <c r="D27" i="5"/>
  <c r="J26" i="5"/>
  <c r="I26" i="5"/>
  <c r="C26" i="5"/>
  <c r="H26" i="5"/>
  <c r="G26" i="5"/>
  <c r="F26" i="5"/>
  <c r="E26" i="5"/>
  <c r="D26" i="5"/>
  <c r="F37" i="4"/>
  <c r="F36" i="4"/>
  <c r="F38" i="4"/>
  <c r="F39" i="4"/>
  <c r="B30" i="4"/>
  <c r="B33" i="4"/>
  <c r="B31" i="4"/>
  <c r="L35" i="2"/>
  <c r="M35" i="2"/>
  <c r="K35" i="2"/>
  <c r="E32" i="3"/>
  <c r="B60" i="2"/>
  <c r="E35" i="2"/>
  <c r="D35" i="2"/>
  <c r="L34" i="2"/>
  <c r="E31" i="3"/>
  <c r="K34" i="2"/>
  <c r="M34" i="2"/>
  <c r="B59" i="2"/>
  <c r="E34" i="2"/>
  <c r="D34" i="2"/>
  <c r="E30" i="3"/>
  <c r="L33" i="2"/>
  <c r="B58" i="2"/>
  <c r="M33" i="2"/>
  <c r="K33" i="2"/>
  <c r="E33" i="2"/>
  <c r="D33" i="2"/>
  <c r="M32" i="2"/>
  <c r="L32" i="2"/>
  <c r="K32" i="2"/>
  <c r="E29" i="3"/>
  <c r="B57" i="2"/>
  <c r="E32" i="2"/>
  <c r="D32" i="2"/>
  <c r="B56" i="2"/>
  <c r="L31" i="2"/>
  <c r="E28" i="3"/>
  <c r="M31" i="2"/>
  <c r="K31" i="2"/>
  <c r="E31" i="2"/>
  <c r="D31" i="2"/>
  <c r="M30" i="2"/>
  <c r="K30" i="2"/>
  <c r="B55" i="2"/>
  <c r="E27" i="3"/>
  <c r="L30" i="2"/>
  <c r="E30" i="2"/>
  <c r="D30" i="2"/>
  <c r="B54" i="2"/>
  <c r="L29" i="2"/>
  <c r="E26" i="3"/>
  <c r="M29" i="2"/>
  <c r="K29" i="2"/>
  <c r="D29" i="2"/>
  <c r="E29" i="2"/>
  <c r="M28" i="2"/>
  <c r="B53" i="2"/>
  <c r="K28" i="2"/>
  <c r="E25" i="3"/>
  <c r="L28" i="2"/>
  <c r="E28" i="2"/>
  <c r="D28" i="2"/>
  <c r="L27" i="2"/>
  <c r="E24" i="3"/>
  <c r="B52" i="2"/>
  <c r="M27" i="2"/>
  <c r="K27" i="2"/>
  <c r="D27" i="2"/>
  <c r="E27" i="2"/>
  <c r="K26" i="2"/>
  <c r="B51" i="2"/>
  <c r="L26" i="2"/>
  <c r="M26" i="2"/>
  <c r="E23" i="3"/>
  <c r="D26" i="2"/>
  <c r="E26" i="2"/>
  <c r="M25" i="2"/>
  <c r="B50" i="2"/>
  <c r="L25" i="2"/>
  <c r="K25" i="2"/>
  <c r="E22" i="3"/>
  <c r="D25" i="2"/>
  <c r="E25" i="2"/>
  <c r="E21" i="3"/>
  <c r="B49" i="2"/>
  <c r="K24" i="2"/>
  <c r="M24" i="2"/>
  <c r="L24" i="2"/>
  <c r="E24" i="2"/>
  <c r="D24" i="2"/>
  <c r="B48" i="2"/>
  <c r="L23" i="2"/>
  <c r="K23" i="2"/>
  <c r="E20" i="3"/>
  <c r="M23" i="2"/>
  <c r="E23" i="2"/>
  <c r="D23" i="2"/>
  <c r="L22" i="2"/>
  <c r="M22" i="2"/>
  <c r="E19" i="3"/>
  <c r="K22" i="2"/>
  <c r="B47" i="2"/>
  <c r="E22" i="2"/>
  <c r="D22" i="2"/>
  <c r="E18" i="3"/>
  <c r="L21" i="2"/>
  <c r="M21" i="2"/>
  <c r="B46" i="2"/>
  <c r="K21" i="2"/>
  <c r="D21" i="2"/>
  <c r="E21" i="2"/>
  <c r="B45" i="2"/>
  <c r="M20" i="2"/>
  <c r="E17" i="3"/>
  <c r="L20" i="2"/>
  <c r="K20" i="2"/>
  <c r="D20" i="2"/>
  <c r="E20" i="2"/>
  <c r="M19" i="2"/>
  <c r="E16" i="3"/>
  <c r="K19" i="2"/>
  <c r="L19" i="2"/>
  <c r="B44" i="2"/>
  <c r="E19" i="2"/>
  <c r="D19" i="2"/>
  <c r="L18" i="2"/>
  <c r="M18" i="2"/>
  <c r="K18" i="2"/>
  <c r="E15" i="3"/>
  <c r="B43" i="2"/>
  <c r="E18" i="2"/>
  <c r="D18" i="2"/>
  <c r="L17" i="2"/>
  <c r="K17" i="2"/>
  <c r="E14" i="3"/>
  <c r="B42" i="2"/>
  <c r="M17" i="2"/>
  <c r="E17" i="2"/>
  <c r="D17" i="2"/>
  <c r="B41" i="2"/>
  <c r="M16" i="2"/>
  <c r="E13" i="3"/>
  <c r="K16" i="2"/>
  <c r="L16" i="2"/>
  <c r="D16" i="2"/>
  <c r="E16" i="2"/>
  <c r="B22" i="4"/>
  <c r="C37" i="4" l="1"/>
  <c r="C38" i="4"/>
  <c r="C36" i="4"/>
  <c r="C39" i="4"/>
  <c r="H36" i="4"/>
  <c r="I37" i="4"/>
  <c r="I38" i="4"/>
  <c r="H37" i="4"/>
  <c r="I39" i="4"/>
  <c r="I36" i="4"/>
  <c r="H38" i="4"/>
  <c r="H39" i="4"/>
  <c r="D36" i="4"/>
  <c r="J36" i="4" s="1"/>
  <c r="D37" i="4"/>
  <c r="J37" i="4" s="1"/>
  <c r="D38" i="4"/>
  <c r="J38" i="4" s="1"/>
  <c r="D39" i="4"/>
  <c r="J39" i="4" s="1"/>
  <c r="P35" i="2"/>
  <c r="Q35" i="2"/>
  <c r="R35" i="2"/>
  <c r="S35" i="2"/>
  <c r="N35" i="2"/>
  <c r="C32" i="3" s="1"/>
  <c r="O35" i="2"/>
  <c r="D32" i="3" s="1"/>
  <c r="B32" i="3"/>
  <c r="C60" i="2"/>
  <c r="D60" i="2"/>
  <c r="P34" i="2"/>
  <c r="Q34" i="2"/>
  <c r="B31" i="3"/>
  <c r="N34" i="2"/>
  <c r="C31" i="3" s="1"/>
  <c r="O34" i="2"/>
  <c r="D31" i="3" s="1"/>
  <c r="R34" i="2"/>
  <c r="S34" i="2"/>
  <c r="C59" i="2"/>
  <c r="D59" i="2"/>
  <c r="P33" i="2"/>
  <c r="Q33" i="2"/>
  <c r="C58" i="2"/>
  <c r="D58" i="2"/>
  <c r="R33" i="2"/>
  <c r="S33" i="2"/>
  <c r="O33" i="2"/>
  <c r="D30" i="3" s="1"/>
  <c r="N33" i="2"/>
  <c r="C30" i="3" s="1"/>
  <c r="B30" i="3"/>
  <c r="R32" i="2"/>
  <c r="S32" i="2"/>
  <c r="P32" i="2"/>
  <c r="Q32" i="2"/>
  <c r="N32" i="2"/>
  <c r="C29" i="3" s="1"/>
  <c r="O32" i="2"/>
  <c r="D29" i="3" s="1"/>
  <c r="B29" i="3"/>
  <c r="C57" i="2"/>
  <c r="D57" i="2"/>
  <c r="C56" i="2"/>
  <c r="D56" i="2"/>
  <c r="Q31" i="2"/>
  <c r="P31" i="2"/>
  <c r="S31" i="2"/>
  <c r="R31" i="2"/>
  <c r="N31" i="2"/>
  <c r="C28" i="3" s="1"/>
  <c r="B28" i="3"/>
  <c r="O31" i="2"/>
  <c r="D28" i="3" s="1"/>
  <c r="R30" i="2"/>
  <c r="S30" i="2"/>
  <c r="O30" i="2"/>
  <c r="D27" i="3" s="1"/>
  <c r="B27" i="3"/>
  <c r="N30" i="2"/>
  <c r="C27" i="3" s="1"/>
  <c r="C55" i="2"/>
  <c r="D55" i="2"/>
  <c r="Q30" i="2"/>
  <c r="P30" i="2"/>
  <c r="C54" i="2"/>
  <c r="D54" i="2"/>
  <c r="P29" i="2"/>
  <c r="Q29" i="2"/>
  <c r="R29" i="2"/>
  <c r="S29" i="2"/>
  <c r="O29" i="2"/>
  <c r="D26" i="3" s="1"/>
  <c r="N29" i="2"/>
  <c r="C26" i="3" s="1"/>
  <c r="B26" i="3"/>
  <c r="R28" i="2"/>
  <c r="S28" i="2"/>
  <c r="C53" i="2"/>
  <c r="D53" i="2"/>
  <c r="N28" i="2"/>
  <c r="C25" i="3" s="1"/>
  <c r="B25" i="3"/>
  <c r="O28" i="2"/>
  <c r="D25" i="3" s="1"/>
  <c r="P28" i="2"/>
  <c r="Q28" i="2"/>
  <c r="P27" i="2"/>
  <c r="Q27" i="2"/>
  <c r="C52" i="2"/>
  <c r="D52" i="2"/>
  <c r="S27" i="2"/>
  <c r="R27" i="2"/>
  <c r="O27" i="2"/>
  <c r="D24" i="3" s="1"/>
  <c r="N27" i="2"/>
  <c r="C24" i="3" s="1"/>
  <c r="B24" i="3"/>
  <c r="O26" i="2"/>
  <c r="D23" i="3" s="1"/>
  <c r="N26" i="2"/>
  <c r="C23" i="3" s="1"/>
  <c r="B23" i="3"/>
  <c r="C51" i="2"/>
  <c r="D51" i="2"/>
  <c r="Q26" i="2"/>
  <c r="P26" i="2"/>
  <c r="S26" i="2"/>
  <c r="R26" i="2"/>
  <c r="R25" i="2"/>
  <c r="S25" i="2"/>
  <c r="C50" i="2"/>
  <c r="D50" i="2"/>
  <c r="P25" i="2"/>
  <c r="Q25" i="2"/>
  <c r="O25" i="2"/>
  <c r="D22" i="3" s="1"/>
  <c r="N25" i="2"/>
  <c r="C22" i="3" s="1"/>
  <c r="B22" i="3"/>
  <c r="C49" i="2"/>
  <c r="D49" i="2"/>
  <c r="B21" i="3"/>
  <c r="O24" i="2"/>
  <c r="D21" i="3" s="1"/>
  <c r="N24" i="2"/>
  <c r="C21" i="3" s="1"/>
  <c r="S24" i="2"/>
  <c r="R24" i="2"/>
  <c r="Q24" i="2"/>
  <c r="P24" i="2"/>
  <c r="C48" i="2"/>
  <c r="D48" i="2"/>
  <c r="P23" i="2"/>
  <c r="Q23" i="2"/>
  <c r="B20" i="3"/>
  <c r="O23" i="2"/>
  <c r="D20" i="3" s="1"/>
  <c r="N23" i="2"/>
  <c r="C20" i="3" s="1"/>
  <c r="R23" i="2"/>
  <c r="S23" i="2"/>
  <c r="Q22" i="2"/>
  <c r="P22" i="2"/>
  <c r="R22" i="2"/>
  <c r="S22" i="2"/>
  <c r="B19" i="3"/>
  <c r="O22" i="2"/>
  <c r="D19" i="3" s="1"/>
  <c r="N22" i="2"/>
  <c r="C19" i="3" s="1"/>
  <c r="C47" i="2"/>
  <c r="D47" i="2"/>
  <c r="Q21" i="2"/>
  <c r="P21" i="2"/>
  <c r="R21" i="2"/>
  <c r="S21" i="2"/>
  <c r="C46" i="2"/>
  <c r="D46" i="2"/>
  <c r="O21" i="2"/>
  <c r="D18" i="3" s="1"/>
  <c r="B18" i="3"/>
  <c r="N21" i="2"/>
  <c r="C18" i="3" s="1"/>
  <c r="C45" i="2"/>
  <c r="D45" i="2"/>
  <c r="S20" i="2"/>
  <c r="R20" i="2"/>
  <c r="P20" i="2"/>
  <c r="Q20" i="2"/>
  <c r="B17" i="3"/>
  <c r="O20" i="2"/>
  <c r="D17" i="3" s="1"/>
  <c r="N20" i="2"/>
  <c r="C17" i="3" s="1"/>
  <c r="R19" i="2"/>
  <c r="S19" i="2"/>
  <c r="N19" i="2"/>
  <c r="C16" i="3" s="1"/>
  <c r="O19" i="2"/>
  <c r="D16" i="3" s="1"/>
  <c r="B16" i="3"/>
  <c r="Q19" i="2"/>
  <c r="P19" i="2"/>
  <c r="C44" i="2"/>
  <c r="D44" i="2"/>
  <c r="Q18" i="2"/>
  <c r="P18" i="2"/>
  <c r="S18" i="2"/>
  <c r="R18" i="2"/>
  <c r="O18" i="2"/>
  <c r="D15" i="3" s="1"/>
  <c r="B15" i="3"/>
  <c r="N18" i="2"/>
  <c r="C15" i="3" s="1"/>
  <c r="C43" i="2"/>
  <c r="D43" i="2"/>
  <c r="Q17" i="2"/>
  <c r="P17" i="2"/>
  <c r="O17" i="2"/>
  <c r="D14" i="3" s="1"/>
  <c r="B14" i="3"/>
  <c r="N17" i="2"/>
  <c r="C14" i="3" s="1"/>
  <c r="C42" i="2"/>
  <c r="D42" i="2"/>
  <c r="R17" i="2"/>
  <c r="S17" i="2"/>
  <c r="C41" i="2"/>
  <c r="D41" i="2"/>
  <c r="S16" i="2"/>
  <c r="R16" i="2"/>
  <c r="B13" i="3"/>
  <c r="N16" i="2"/>
  <c r="C13" i="3" s="1"/>
  <c r="O16" i="2"/>
  <c r="D13" i="3" s="1"/>
  <c r="P16" i="2"/>
  <c r="Q16" i="2"/>
  <c r="J32" i="3" l="1"/>
  <c r="N32" i="3"/>
  <c r="F32" i="3"/>
  <c r="R32" i="3"/>
  <c r="G32" i="3"/>
  <c r="O32" i="3"/>
  <c r="K32" i="3"/>
  <c r="S32" i="3"/>
  <c r="E60" i="2"/>
  <c r="F60" i="2"/>
  <c r="G60" i="2"/>
  <c r="F31" i="3"/>
  <c r="J31" i="3"/>
  <c r="N31" i="3"/>
  <c r="R31" i="3"/>
  <c r="G31" i="3"/>
  <c r="O31" i="3"/>
  <c r="S31" i="3"/>
  <c r="K31" i="3"/>
  <c r="E59" i="2"/>
  <c r="F59" i="2"/>
  <c r="G59" i="2"/>
  <c r="E58" i="2"/>
  <c r="F58" i="2"/>
  <c r="G58" i="2"/>
  <c r="G30" i="3"/>
  <c r="K30" i="3"/>
  <c r="O30" i="3"/>
  <c r="S30" i="3"/>
  <c r="F30" i="3"/>
  <c r="H30" i="3" s="1"/>
  <c r="I30" i="3" s="1"/>
  <c r="J30" i="3"/>
  <c r="L30" i="3" s="1"/>
  <c r="M30" i="3" s="1"/>
  <c r="N30" i="3"/>
  <c r="P30" i="3" s="1"/>
  <c r="Q30" i="3" s="1"/>
  <c r="R30" i="3"/>
  <c r="T30" i="3" s="1"/>
  <c r="U30" i="3" s="1"/>
  <c r="F29" i="3"/>
  <c r="R29" i="3"/>
  <c r="J29" i="3"/>
  <c r="N29" i="3"/>
  <c r="G29" i="3"/>
  <c r="O29" i="3"/>
  <c r="S29" i="3"/>
  <c r="K29" i="3"/>
  <c r="E57" i="2"/>
  <c r="F57" i="2"/>
  <c r="G57" i="2"/>
  <c r="E56" i="2"/>
  <c r="F56" i="2"/>
  <c r="G56" i="2"/>
  <c r="F28" i="3"/>
  <c r="J28" i="3"/>
  <c r="N28" i="3"/>
  <c r="R28" i="3"/>
  <c r="K28" i="3"/>
  <c r="O28" i="3"/>
  <c r="S28" i="3"/>
  <c r="G28" i="3"/>
  <c r="K27" i="3"/>
  <c r="O27" i="3"/>
  <c r="G27" i="3"/>
  <c r="S27" i="3"/>
  <c r="J27" i="3"/>
  <c r="N27" i="3"/>
  <c r="F27" i="3"/>
  <c r="R27" i="3"/>
  <c r="E55" i="2"/>
  <c r="F55" i="2"/>
  <c r="G55" i="2"/>
  <c r="E54" i="2"/>
  <c r="F54" i="2"/>
  <c r="G54" i="2"/>
  <c r="S26" i="3"/>
  <c r="K26" i="3"/>
  <c r="G26" i="3"/>
  <c r="O26" i="3"/>
  <c r="J26" i="3"/>
  <c r="L26" i="3" s="1"/>
  <c r="M26" i="3" s="1"/>
  <c r="N26" i="3"/>
  <c r="R26" i="3"/>
  <c r="F26" i="3"/>
  <c r="E53" i="2"/>
  <c r="F53" i="2"/>
  <c r="G53" i="2"/>
  <c r="N25" i="3"/>
  <c r="R25" i="3"/>
  <c r="F25" i="3"/>
  <c r="J25" i="3"/>
  <c r="O25" i="3"/>
  <c r="S25" i="3"/>
  <c r="G25" i="3"/>
  <c r="K25" i="3"/>
  <c r="E52" i="2"/>
  <c r="F52" i="2"/>
  <c r="G52" i="2"/>
  <c r="G24" i="3"/>
  <c r="K24" i="3"/>
  <c r="O24" i="3"/>
  <c r="S24" i="3"/>
  <c r="R24" i="3"/>
  <c r="F24" i="3"/>
  <c r="H24" i="3" s="1"/>
  <c r="I24" i="3" s="1"/>
  <c r="J24" i="3"/>
  <c r="L24" i="3" s="1"/>
  <c r="M24" i="3" s="1"/>
  <c r="N24" i="3"/>
  <c r="P24" i="3" s="1"/>
  <c r="Q24" i="3" s="1"/>
  <c r="O23" i="3"/>
  <c r="G23" i="3"/>
  <c r="K23" i="3"/>
  <c r="S23" i="3"/>
  <c r="F23" i="3"/>
  <c r="H23" i="3" s="1"/>
  <c r="I23" i="3" s="1"/>
  <c r="R23" i="3"/>
  <c r="T23" i="3" s="1"/>
  <c r="U23" i="3" s="1"/>
  <c r="J23" i="3"/>
  <c r="L23" i="3" s="1"/>
  <c r="M23" i="3" s="1"/>
  <c r="N23" i="3"/>
  <c r="P23" i="3" s="1"/>
  <c r="Q23" i="3" s="1"/>
  <c r="E51" i="2"/>
  <c r="F51" i="2"/>
  <c r="G51" i="2"/>
  <c r="E50" i="2"/>
  <c r="F50" i="2"/>
  <c r="G50" i="2"/>
  <c r="K22" i="3"/>
  <c r="O22" i="3"/>
  <c r="G22" i="3"/>
  <c r="S22" i="3"/>
  <c r="N22" i="3"/>
  <c r="P22" i="3" s="1"/>
  <c r="Q22" i="3" s="1"/>
  <c r="F22" i="3"/>
  <c r="H22" i="3" s="1"/>
  <c r="I22" i="3" s="1"/>
  <c r="R22" i="3"/>
  <c r="T22" i="3" s="1"/>
  <c r="U22" i="3" s="1"/>
  <c r="J22" i="3"/>
  <c r="E49" i="2"/>
  <c r="F49" i="2"/>
  <c r="G49" i="2"/>
  <c r="K21" i="3"/>
  <c r="G21" i="3"/>
  <c r="O21" i="3"/>
  <c r="S21" i="3"/>
  <c r="N21" i="3"/>
  <c r="P21" i="3" s="1"/>
  <c r="Q21" i="3" s="1"/>
  <c r="R21" i="3"/>
  <c r="T21" i="3" s="1"/>
  <c r="U21" i="3" s="1"/>
  <c r="F21" i="3"/>
  <c r="H21" i="3" s="1"/>
  <c r="I21" i="3" s="1"/>
  <c r="J21" i="3"/>
  <c r="L21" i="3" s="1"/>
  <c r="M21" i="3" s="1"/>
  <c r="E48" i="2"/>
  <c r="F48" i="2"/>
  <c r="G48" i="2"/>
  <c r="O20" i="3"/>
  <c r="K20" i="3"/>
  <c r="S20" i="3"/>
  <c r="G20" i="3"/>
  <c r="N20" i="3"/>
  <c r="F20" i="3"/>
  <c r="J20" i="3"/>
  <c r="R20" i="3"/>
  <c r="G19" i="3"/>
  <c r="O19" i="3"/>
  <c r="S19" i="3"/>
  <c r="K19" i="3"/>
  <c r="F19" i="3"/>
  <c r="H19" i="3" s="1"/>
  <c r="I19" i="3" s="1"/>
  <c r="J19" i="3"/>
  <c r="L19" i="3" s="1"/>
  <c r="M19" i="3" s="1"/>
  <c r="R19" i="3"/>
  <c r="T19" i="3" s="1"/>
  <c r="U19" i="3" s="1"/>
  <c r="N19" i="3"/>
  <c r="P19" i="3" s="1"/>
  <c r="Q19" i="3" s="1"/>
  <c r="E47" i="2"/>
  <c r="F47" i="2"/>
  <c r="G47" i="2"/>
  <c r="E46" i="2"/>
  <c r="F46" i="2"/>
  <c r="G46" i="2"/>
  <c r="G18" i="3"/>
  <c r="K18" i="3"/>
  <c r="O18" i="3"/>
  <c r="S18" i="3"/>
  <c r="F18" i="3"/>
  <c r="H18" i="3" s="1"/>
  <c r="I18" i="3" s="1"/>
  <c r="J18" i="3"/>
  <c r="L18" i="3" s="1"/>
  <c r="M18" i="3" s="1"/>
  <c r="N18" i="3"/>
  <c r="R18" i="3"/>
  <c r="E45" i="2"/>
  <c r="F45" i="2"/>
  <c r="G45" i="2"/>
  <c r="G17" i="3"/>
  <c r="K17" i="3"/>
  <c r="O17" i="3"/>
  <c r="S17" i="3"/>
  <c r="F17" i="3"/>
  <c r="H17" i="3" s="1"/>
  <c r="I17" i="3" s="1"/>
  <c r="J17" i="3"/>
  <c r="N17" i="3"/>
  <c r="R17" i="3"/>
  <c r="F16" i="3"/>
  <c r="J16" i="3"/>
  <c r="N16" i="3"/>
  <c r="R16" i="3"/>
  <c r="G16" i="3"/>
  <c r="K16" i="3"/>
  <c r="O16" i="3"/>
  <c r="S16" i="3"/>
  <c r="E44" i="2"/>
  <c r="F44" i="2"/>
  <c r="G44" i="2"/>
  <c r="G15" i="3"/>
  <c r="K15" i="3"/>
  <c r="O15" i="3"/>
  <c r="S15" i="3"/>
  <c r="F15" i="3"/>
  <c r="H15" i="3" s="1"/>
  <c r="I15" i="3" s="1"/>
  <c r="J15" i="3"/>
  <c r="L15" i="3" s="1"/>
  <c r="M15" i="3" s="1"/>
  <c r="N15" i="3"/>
  <c r="R15" i="3"/>
  <c r="E43" i="2"/>
  <c r="F43" i="2"/>
  <c r="G43" i="2"/>
  <c r="G14" i="3"/>
  <c r="K14" i="3"/>
  <c r="O14" i="3"/>
  <c r="S14" i="3"/>
  <c r="F14" i="3"/>
  <c r="H14" i="3" s="1"/>
  <c r="I14" i="3" s="1"/>
  <c r="J14" i="3"/>
  <c r="L14" i="3" s="1"/>
  <c r="M14" i="3" s="1"/>
  <c r="N14" i="3"/>
  <c r="R14" i="3"/>
  <c r="E42" i="2"/>
  <c r="F42" i="2"/>
  <c r="G42" i="2"/>
  <c r="E41" i="2"/>
  <c r="F41" i="2"/>
  <c r="G41" i="2"/>
  <c r="F13" i="3"/>
  <c r="J13" i="3"/>
  <c r="N13" i="3"/>
  <c r="R13" i="3"/>
  <c r="G13" i="3"/>
  <c r="K13" i="3"/>
  <c r="O13" i="3"/>
  <c r="S13" i="3"/>
  <c r="E36" i="4"/>
  <c r="G36" i="4" s="1"/>
  <c r="E38" i="4"/>
  <c r="G38" i="4" s="1"/>
  <c r="E39" i="4"/>
  <c r="G39" i="4" s="1"/>
  <c r="E37" i="4"/>
  <c r="G37" i="4" s="1"/>
  <c r="L28" i="3" l="1"/>
  <c r="M28" i="3" s="1"/>
  <c r="L27" i="3"/>
  <c r="M27" i="3" s="1"/>
  <c r="P27" i="3"/>
  <c r="Q27" i="3" s="1"/>
  <c r="H28" i="3"/>
  <c r="I28" i="3" s="1"/>
  <c r="P20" i="3"/>
  <c r="Q20" i="3" s="1"/>
  <c r="L20" i="3"/>
  <c r="M20" i="3" s="1"/>
  <c r="T20" i="3"/>
  <c r="U20" i="3" s="1"/>
  <c r="P18" i="3"/>
  <c r="Q18" i="3" s="1"/>
  <c r="T18" i="3"/>
  <c r="U18" i="3" s="1"/>
  <c r="P28" i="3"/>
  <c r="Q28" i="3" s="1"/>
  <c r="L17" i="3"/>
  <c r="M17" i="3" s="1"/>
  <c r="P17" i="3"/>
  <c r="Q17" i="3" s="1"/>
  <c r="P15" i="3"/>
  <c r="Q15" i="3" s="1"/>
  <c r="T15" i="3"/>
  <c r="U15" i="3" s="1"/>
  <c r="H29" i="3"/>
  <c r="I29" i="3" s="1"/>
  <c r="T29" i="3"/>
  <c r="U29" i="3" s="1"/>
  <c r="P29" i="3"/>
  <c r="Q29" i="3" s="1"/>
  <c r="T28" i="3"/>
  <c r="U28" i="3" s="1"/>
  <c r="H27" i="3"/>
  <c r="I27" i="3" s="1"/>
  <c r="T27" i="3"/>
  <c r="U27" i="3" s="1"/>
  <c r="H20" i="3"/>
  <c r="I20" i="3" s="1"/>
  <c r="P26" i="3"/>
  <c r="Q26" i="3" s="1"/>
  <c r="T26" i="3"/>
  <c r="U26" i="3" s="1"/>
  <c r="H26" i="3"/>
  <c r="I26" i="3" s="1"/>
  <c r="P25" i="3"/>
  <c r="Q25" i="3" s="1"/>
  <c r="T25" i="3"/>
  <c r="U25" i="3" s="1"/>
  <c r="H25" i="3"/>
  <c r="I25" i="3" s="1"/>
  <c r="L25" i="3"/>
  <c r="M25" i="3" s="1"/>
  <c r="T24" i="3"/>
  <c r="U24" i="3" s="1"/>
  <c r="L29" i="3"/>
  <c r="M29" i="3" s="1"/>
  <c r="L22" i="3"/>
  <c r="M22" i="3" s="1"/>
  <c r="T17" i="3"/>
  <c r="U17" i="3" s="1"/>
  <c r="H16" i="3"/>
  <c r="I16" i="3" s="1"/>
  <c r="L16" i="3"/>
  <c r="M16" i="3" s="1"/>
  <c r="P16" i="3"/>
  <c r="Q16" i="3" s="1"/>
  <c r="T16" i="3"/>
  <c r="U16" i="3" s="1"/>
  <c r="P14" i="3"/>
  <c r="Q14" i="3" s="1"/>
  <c r="T14" i="3"/>
  <c r="U14" i="3" s="1"/>
  <c r="H13" i="3"/>
  <c r="I13" i="3" s="1"/>
  <c r="L13" i="3"/>
  <c r="M13" i="3" s="1"/>
  <c r="P13" i="3"/>
  <c r="Q13" i="3" s="1"/>
  <c r="T13" i="3"/>
  <c r="U13" i="3" s="1"/>
  <c r="L32" i="3"/>
  <c r="M32" i="3" s="1"/>
  <c r="P32" i="3"/>
  <c r="Q32" i="3" s="1"/>
  <c r="H32" i="3"/>
  <c r="I32" i="3" s="1"/>
  <c r="T32" i="3"/>
  <c r="U32" i="3" s="1"/>
  <c r="H31" i="3"/>
  <c r="I31" i="3" s="1"/>
  <c r="L31" i="3"/>
  <c r="M31" i="3" s="1"/>
  <c r="P31" i="3"/>
  <c r="Q31" i="3" s="1"/>
  <c r="T31" i="3"/>
  <c r="U31" i="3" s="1"/>
</calcChain>
</file>

<file path=xl/sharedStrings.xml><?xml version="1.0" encoding="utf-8"?>
<sst xmlns="http://schemas.openxmlformats.org/spreadsheetml/2006/main" count="1054" uniqueCount="706">
  <si>
    <t>Hero's Draft — Les systèmes et leurs calculs</t>
  </si>
  <si>
    <t>Version du jeu : 0.5.5 (branche main, commit 0ec09ab, lue le 13/10/2026). Tout ce qui se calcule sans dé.</t>
  </si>
  <si>
    <t>Comment lire ce classeur</t>
  </si>
  <si>
    <t>Texte bleu</t>
  </si>
  <si>
    <t>Constante du code Dart ou valeur d'un fichier JSON de assets/data/. Modifiable pour tester un rééquilibrage.</t>
  </si>
  <si>
    <t>Texte bleu sur fond jaune</t>
  </si>
  <si>
    <t>Paramètre de scénario (acte, niveau du joueur, PV…) : à saisir.</t>
  </si>
  <si>
    <t>Texte noir</t>
  </si>
  <si>
    <t>Formule.</t>
  </si>
  <si>
    <t>Texte vert</t>
  </si>
  <si>
    <t>Lien vers un autre onglet.</t>
  </si>
  <si>
    <t>Ligne « Source »</t>
  </si>
  <si>
    <t>Fichier et fonction du dépôt où vit la règle, relus le 13/10/2026.</t>
  </si>
  <si>
    <t>Les onglets</t>
  </si>
  <si>
    <t>Onglet</t>
  </si>
  <si>
    <t>Contenu</t>
  </si>
  <si>
    <t>Difficulté par acte</t>
  </si>
  <si>
    <t>Escalier géométrique des PV et dégâts ennemis, niveau d'ennemi, tiers, budgets de menace, de l'acte 1 à 20.</t>
  </si>
  <si>
    <t>Ennemis par acte</t>
  </si>
  <si>
    <t>PV, dégâts et note de menace de chaque ennemi, acte par acte, pour un type de nœud choisi.</t>
  </si>
  <si>
    <t>Calculateur de combat</t>
  </si>
  <si>
    <t>Un combat précis : puissance du joueur, budget, multiplicateurs, chaque ennemi, XP et or qu'il rapporte.</t>
  </si>
  <si>
    <t>Courbe d'XP</t>
  </si>
  <si>
    <t>Prix d'un niveau par acte, XP par ennemi selon son niveau, kills nécessaires, progression cumulée.</t>
  </si>
  <si>
    <t>Économie (or)</t>
  </si>
  <si>
    <t>Or de départ, or par ennemi, prix de la boutique, affûtage, Puits, événements, Colporteur, budget d'un acte.</t>
  </si>
  <si>
    <t>Cartes &amp; rareté</t>
  </si>
  <si>
    <t>Règle G1 (×1,2 / 1,4 / 1,6 / 2,0, au moins +1 par palier), les 23 cartes à chaque rareté, coût en copies des fusions.</t>
  </si>
  <si>
    <t>Runes (valeurs)</t>
  </si>
  <si>
    <t>Bonus en pourcentage (au moins +niveau), runes élémentaires, Précis, plafonds, coût d'affûtage cumulé, Puits.</t>
  </si>
  <si>
    <t>Dégâts &amp; statuts</t>
  </si>
  <si>
    <t>Pipeline de dégâts, attaque effective d'un ennemi, armure, poison et brûlure sur la durée, conversion du Berserker.</t>
  </si>
  <si>
    <t>Passifs &amp; Maîtrise</t>
  </si>
  <si>
    <t>Les neuf passifs avec la Maîtrise appliquée, tables selon les PV manquants, l'armure survivante, le mana restant.</t>
  </si>
  <si>
    <t>Héros &amp; récompenses</t>
  </si>
  <si>
    <t>Statistiques de départ, valeurs des récompenses de niveau et leur espérance, reliques, soins.</t>
  </si>
  <si>
    <t>Main &amp; pioche</t>
  </si>
  <si>
    <t>Cadence de la pioche et du remélange selon la taille du deck.</t>
  </si>
  <si>
    <t>Les tirages aléatoires (raretés, trouvaille, carte du monde, runes…) sont dans 2026-10-13_probabilites_du_jeu.xlsx.</t>
  </si>
  <si>
    <t>EncounterSystem (lib/game/systems/encounter_system.dart) — ADR-070 / ADR-072 : l'acte n'entre que dans le facteur d'escalier, jamais dans le niveau d'ennemi</t>
  </si>
  <si>
    <t>Constantes</t>
  </si>
  <si>
    <t>Taux PV par palier</t>
  </si>
  <si>
    <t>_hpBracketGrowthRate</t>
  </si>
  <si>
    <t>Taux dégâts par palier</t>
  </si>
  <si>
    <t>_dmgBracketGrowthRate</t>
  </si>
  <si>
    <t>Rampe PV intra-palier</t>
  </si>
  <si>
    <t>_hpIntraBracketStep</t>
  </si>
  <si>
    <t>Rampe dégâts intra-palier</t>
  </si>
  <si>
    <t>_dmgIntraBracketStep</t>
  </si>
  <si>
    <t>Taille d'un palier (actes)</t>
  </si>
  <si>
    <t>_actBracketSize</t>
  </si>
  <si>
    <t>Déblocage de tier (actes)</t>
  </si>
  <si>
    <t>_tierUnlockBracketSize</t>
  </si>
  <si>
    <t>PV : + par niveau d'ennemi</t>
  </si>
  <si>
    <t>getHpMultiplier</t>
  </si>
  <si>
    <t>Dégâts : + par niveau d'ennemi</t>
  </si>
  <si>
    <t>getDamageMultiplier</t>
  </si>
  <si>
    <t>Niveaux gagnés par acte (scénario)</t>
  </si>
  <si>
    <t>cible de la courbe d'XP (D24)</t>
  </si>
  <si>
    <t>Acte</t>
  </si>
  <si>
    <t>Palier</t>
  </si>
  <si>
    <t>Position</t>
  </si>
  <si>
    <t>Facteur PV</t>
  </si>
  <si>
    <t>Facteur dégâts</t>
  </si>
  <si>
    <t>Tier max</t>
  </si>
  <si>
    <t>Max normal</t>
  </si>
  <si>
    <t>Max élite</t>
  </si>
  <si>
    <t>Max boss</t>
  </si>
  <si>
    <t>Niveau joueur (début d'acte)</t>
  </si>
  <si>
    <t>Niveau ennemi normal</t>
  </si>
  <si>
    <t>Niveau élite</t>
  </si>
  <si>
    <t>Niveau boss</t>
  </si>
  <si>
    <t>× PV normal</t>
  </si>
  <si>
    <t>× dégâts normal</t>
  </si>
  <si>
    <t>× PV élite</t>
  </si>
  <si>
    <t>× dégâts élite</t>
  </si>
  <si>
    <t>× PV boss</t>
  </si>
  <si>
    <t>× dégâts boss</t>
  </si>
  <si>
    <t>Facteur PV à l'acte 25 : 1,35^12 ≈ 36,6 ; facteur dégâts ≈ 14,6 (ADR-072, voulu). Multiplicateurs de nœud : élite ×1,5, boss ×3 (PV comme dégâts) ; un boss « custom » (id boss_*) n'en a pas.</t>
  </si>
  <si>
    <t>Budget de menace à ratio de puissance 1 (joueur « dans les clous »)</t>
  </si>
  <si>
    <t>Source : calculateBudget : puissance attendue 145 + 15 (niv−1) + 20 (acte−1) ; budget de base 40 + 10 (niv−1) + 25 (acte−1) ; final = base × modificateur × nœud (1 / 1,5 / 2) + 10 (acte−1)</t>
  </si>
  <si>
    <t>Niveau joueur</t>
  </si>
  <si>
    <t>Puissance attendue</t>
  </si>
  <si>
    <t>Budget de base</t>
  </si>
  <si>
    <t>Budget normal</t>
  </si>
  <si>
    <t>Budget élite</t>
  </si>
  <si>
    <t>Budget boss</t>
  </si>
  <si>
    <t>combat_controller.dart initializeCombat : PV = round(maxHp × multPV), Puissance = round(baseDamage × multDégâts) ; note = tier × 15 + PV/4 + dégâts × 2 × (1 + crit/100)</t>
  </si>
  <si>
    <t>Type de nœud (1 normal, 2 élite, 3 boss)</t>
  </si>
  <si>
    <t>Le niveau du joueur par acte et les constantes viennent de l'onglet « Difficulté par acte ».</t>
  </si>
  <si>
    <t>Ennemi</t>
  </si>
  <si>
    <t>PV base</t>
  </si>
  <si>
    <t>Dégâts base</t>
  </si>
  <si>
    <t>Tier</t>
  </si>
  <si>
    <t>Crit</t>
  </si>
  <si>
    <t>XP base</t>
  </si>
  <si>
    <t>Or base</t>
  </si>
  <si>
    <t>Gobelin</t>
  </si>
  <si>
    <t>Orc Furieux</t>
  </si>
  <si>
    <t>Slime</t>
  </si>
  <si>
    <t>Squelette</t>
  </si>
  <si>
    <t>Niv. ennemi</t>
  </si>
  <si>
    <t>× PV</t>
  </si>
  <si>
    <t>× dégâts</t>
  </si>
  <si>
    <t>Budget</t>
  </si>
  <si>
    <t>Gobelin PV</t>
  </si>
  <si>
    <t>dégâts</t>
  </si>
  <si>
    <t>note</t>
  </si>
  <si>
    <t>tient ?</t>
  </si>
  <si>
    <t>Orc Furieux PV</t>
  </si>
  <si>
    <t>Slime PV</t>
  </si>
  <si>
    <t>Squelette PV</t>
  </si>
  <si>
    <t>« tient ? » : le tier est débloqué ET la note ≤ budget à ratio de puissance 1. Les tiers 2 et 3 (Squelette, Orc) n'apparaissent qu'aux actes 6 et 11.</t>
  </si>
  <si>
    <t>Calculateur d'un combat</t>
  </si>
  <si>
    <t>EncounterSystem.calculateBudget / getEnemyLevel / getHpMultiplier / getDamageMultiplier / calculateCombatRating ; RewardController.handleVictory pour l'XP et l'or</t>
  </si>
  <si>
    <t>Entrées</t>
  </si>
  <si>
    <t>Niveau du joueur</t>
  </si>
  <si>
    <t>PV max</t>
  </si>
  <si>
    <t>Paladin 100, Berserker 80, Mage 60</t>
  </si>
  <si>
    <t>Puissance permanente</t>
  </si>
  <si>
    <t>Mana max</t>
  </si>
  <si>
    <t>Reliques portées</t>
  </si>
  <si>
    <t>Somme des rangs de fusion du deck</t>
  </si>
  <si>
    <t>DeckState.fusionRankSum : 1 par peu commune, 2 par rare, 3, 4</t>
  </si>
  <si>
    <t>Boss « XP » (1 = oui)</t>
  </si>
  <si>
    <t>or et XP × 3</t>
  </si>
  <si>
    <t>Puissance du joueur</t>
  </si>
  <si>
    <t>PV max + 10 × Puissance + 15 × Mana max + 5 × reliques + 2 × Σ rangs</t>
  </si>
  <si>
    <t>Ratio</t>
  </si>
  <si>
    <t>Modificateur (amorti ×0,5)</t>
  </si>
  <si>
    <t>Multiplicateur de nœud (budget)</t>
  </si>
  <si>
    <t>Budget final</t>
  </si>
  <si>
    <t>Ennemis max</t>
  </si>
  <si>
    <t>5 actifs à la fois, le reste en réserve</t>
  </si>
  <si>
    <t>Multiplicateurs</t>
  </si>
  <si>
    <t>Niveau des ennemis</t>
  </si>
  <si>
    <t>Facteur d'acte PV</t>
  </si>
  <si>
    <t>Facteur d'acte dégâts</t>
  </si>
  <si>
    <t>Multiplicateur de nœud (stats)</t>
  </si>
  <si>
    <t>Multiplicateur PV</t>
  </si>
  <si>
    <t>Multiplicateur dégâts</t>
  </si>
  <si>
    <t>Tier débloqué</t>
  </si>
  <si>
    <t>Multiplicateur de récompense (niveau)</t>
  </si>
  <si>
    <t>XP et or × (1 + 0,10 × (niveau − 1)), arrondi</t>
  </si>
  <si>
    <t>PV</t>
  </si>
  <si>
    <t>Puissance (dégâts)</t>
  </si>
  <si>
    <t>Note de menace</t>
  </si>
  <si>
    <t>Éligible ?</t>
  </si>
  <si>
    <t>Tient dans le budget ?</t>
  </si>
  <si>
    <t>XP rapportée</t>
  </si>
  <si>
    <t>Or rapporté</t>
  </si>
  <si>
    <t>Intentions effectives (cycle)</t>
  </si>
  <si>
    <t>Attaque effective d'une intention = round(valeur × Puissance de spawn ÷ dégâts de base), + la Puissance gagnée en combat (buff), ÷ 2 arrondi si Gelé (EnemyInstance.effectiveIntent).</t>
  </si>
  <si>
    <t>Le générateur tire un candidat qui tient, retire sa note du budget, et recommence jusqu'au max d'ennemis ou jusqu'à ce que plus rien ne tienne ; sans aucun candidat, l'ennemi de plus petite note sort seul.</t>
  </si>
  <si>
    <t>assets/data/xp_curve.json + PlayerStatsManager.gainXp : le prix d'un niveau est celui de l'acte courant, relu à chaque niveau ; surplus conservé</t>
  </si>
  <si>
    <t>A. Prix d'un niveau, par acte (xpPerLevelByAct)</t>
  </si>
  <si>
    <t>XP par niveau</t>
  </si>
  <si>
    <t>Niveaux par acte (cible D24)</t>
  </si>
  <si>
    <t>XP à gagner dans l'acte</t>
  </si>
  <si>
    <t>XP cumulée (fin d'acte)</t>
  </si>
  <si>
    <t>Variation vs acte précédent</t>
  </si>
  <si>
    <t>16+</t>
  </si>
  <si>
    <t>la dernière valeur vaut au-delà de la table</t>
  </si>
  <si>
    <t>Le palier baisse de l'acte 8 (1100) à l'acte 9 (1040) et de 11-12 (1370) à 13 (1300) : une XP accumulée sous l'ancien palier mais au-dessus du nouveau donne le niveau au gain suivant.</t>
  </si>
  <si>
    <t>B. XP et or d'un ennemi selon son niveau (multiplicateur 1 + 0,10 × (niveau − 1), arrondi)</t>
  </si>
  <si>
    <t>Niveau d'ennemi</t>
  </si>
  <si>
    <t>Multiplicateur</t>
  </si>
  <si>
    <t>XP Gobelin</t>
  </si>
  <si>
    <t>XP Orc Furieux</t>
  </si>
  <si>
    <t>XP Slime</t>
  </si>
  <si>
    <t>XP Squelette</t>
  </si>
  <si>
    <t>Or Gobelin</t>
  </si>
  <si>
    <t>Or Orc Furieux</t>
  </si>
  <si>
    <t>Or Slime</t>
  </si>
  <si>
    <t>Or Squelette</t>
  </si>
  <si>
    <t>C. Combien d'ennemis pour un niveau ? (ennemis au niveau du joueur, combat normal)</t>
  </si>
  <si>
    <t>Niveau joueur en début d'acte = 1 + 2 × (acte − 1) (scénario de l'onglet Difficulté) ; les kills nécessaires = XP du palier ÷ XP d'un ennemi à ce niveau.</t>
  </si>
  <si>
    <t>XP du palier</t>
  </si>
  <si>
    <t>Kills Slime</t>
  </si>
  <si>
    <t>Kills Gobelin</t>
  </si>
  <si>
    <t>XP Squelette (acte ≥ 6)</t>
  </si>
  <si>
    <t>Kills Squelette</t>
  </si>
  <si>
    <t>XP Orc (acte ≥ 11)</t>
  </si>
  <si>
    <t>Ordre des ennemis dans ce bloc : Slime (25 XP), Gobelin (35), Squelette (50), Orc (100) — ids slime, gobelin, squelette, orc.</t>
  </si>
  <si>
    <t>Économie : l'or</t>
  </si>
  <si>
    <t>InventoryController (50 or de départ), RewardController (or des ennemis), ShopController/ShopScreen (prix), ForgeRuneRules (affûtage, Puits), événements</t>
  </si>
  <si>
    <t>A. Entrées d'or</t>
  </si>
  <si>
    <t>Or de départ</t>
  </si>
  <si>
    <t>RunController.startNewRun → reset(initialGold: 50)</t>
  </si>
  <si>
    <t>Or de base</t>
  </si>
  <si>
    <t>Niveau 1</t>
  </si>
  <si>
    <t>Niveau 5</t>
  </si>
  <si>
    <t>Niveau 10</t>
  </si>
  <si>
    <t>Niveau 20</t>
  </si>
  <si>
    <t>Niveau 30</t>
  </si>
  <si>
    <t>Boss « XP » : × 3</t>
  </si>
  <si>
    <t>oui</t>
  </si>
  <si>
    <t>Événement — choix</t>
  </si>
  <si>
    <t>Or</t>
  </si>
  <si>
    <t>Le Feu de Camp Abandonné — Consommer les provisions abandonnées (-25 Or, +30 PV)</t>
  </si>
  <si>
    <t>La Fontaine Bénie — Jeter une pièce dans la fontaine (-20 Or, +8 PV Max)</t>
  </si>
  <si>
    <t>Le Tombeau Oublié — Piller le sarcophage (+100 Or, -18 PV)</t>
  </si>
  <si>
    <t>Le Tombeau Oublié — Respecter le repos des morts (+15 Or)</t>
  </si>
  <si>
    <t>Le Marchand Fugitif — Acheter une relique mystérieuse (-40 Or, +1 Relique)</t>
  </si>
  <si>
    <t>Le Marchand Fugitif — Voler le gobelin (+50 Or, -12 PV)</t>
  </si>
  <si>
    <t>L'Autel Mystérieux — Faire une offrande d'or (-50 Or, +10 PV Max)</t>
  </si>
  <si>
    <t>Le Colporteur — Vendre votre relique la plus faible (+40 à +200 Or selon sa rareté)</t>
  </si>
  <si>
    <t>40 × (rang + 1) : 40 / 80 / 120 / 160 / 200</t>
  </si>
  <si>
    <t>B. Sorties d'or</t>
  </si>
  <si>
    <t>Carte en boutique</t>
  </si>
  <si>
    <t>Base</t>
  </si>
  <si>
    <t>0 rune</t>
  </si>
  <si>
    <t>1 rune</t>
  </si>
  <si>
    <t>2 runes</t>
  </si>
  <si>
    <t>3 runes</t>
  </si>
  <si>
    <t>4 runes</t>
  </si>
  <si>
    <t>Commune</t>
  </si>
  <si>
    <t>Peu commune</t>
  </si>
  <si>
    <t>Rare</t>
  </si>
  <si>
    <t>Épique</t>
  </si>
  <si>
    <t>Légendaire</t>
  </si>
  <si>
    <t>Copie du deck : prix de sa rareté sans rune. Carte unique : 999 (jamais en vente).</t>
  </si>
  <si>
    <t>Service</t>
  </si>
  <si>
    <t>Prix</t>
  </si>
  <si>
    <t>Relance de l'étal</t>
  </si>
  <si>
    <t>Potion (30 % PV max), 1 par boutique</t>
  </si>
  <si>
    <t>Purge d'une carte</t>
  </si>
  <si>
    <t>Expansion de l'étal</t>
  </si>
  <si>
    <t>Miroir magique (n = clonages déjà faits ici)</t>
  </si>
  <si>
    <t>n = 0</t>
  </si>
  <si>
    <t>n = 1</t>
  </si>
  <si>
    <t>n = 2</t>
  </si>
  <si>
    <t>n = 3</t>
  </si>
  <si>
    <t>n = 4</t>
  </si>
  <si>
    <t>Affûtage : base b (ForgeRuneRules.sharpenBaseCost)</t>
  </si>
  <si>
    <t>Puits : base (ForgeRuneRules.wellBaseCost)</t>
  </si>
  <si>
    <t>Niveau porté L</t>
  </si>
  <si>
    <t>Affûter L → L+1</t>
  </si>
  <si>
    <t>Cumul pour atteindre L depuis 1</t>
  </si>
  <si>
    <t>Puits : donner une rune de niveau L</t>
  </si>
  <si>
    <t>Niveau reçu au Puits</t>
  </si>
  <si>
    <t>Cumul = b × L(L−1)/2 : atteindre le niveau 5 coûte 500 or, le niveau 10 coûte 2 250 or. Le niveau reçu au Puits = les deux tiers arrondis, puis borné par le plafond de la rune reçue.</t>
  </si>
  <si>
    <t>C. Budget d'un acte (scénario)</t>
  </si>
  <si>
    <t>Combats normaux sur le chemin</t>
  </si>
  <si>
    <t>Élites</t>
  </si>
  <si>
    <t>Boss</t>
  </si>
  <si>
    <t>Ennemis par combat normal (moyenne)</t>
  </si>
  <si>
    <t>max = acte, limité par le budget</t>
  </si>
  <si>
    <t>Ennemis par élite</t>
  </si>
  <si>
    <t>Or d'un ennemi (moyenne, au niveau courant)</t>
  </si>
  <si>
    <t>Slime 10 / Gobelin 12 au niveau 1</t>
  </si>
  <si>
    <t>Niveau des ennemis normaux</t>
  </si>
  <si>
    <t>Or attendu dans l'acte</t>
  </si>
  <si>
    <t>élite : niveau +1 ; boss : niveau +2, sans le ×3 du boss XP</t>
  </si>
  <si>
    <t>Référence de la simulation D26 : or en réserve médian ≈ 6 000 à l'acte 15 (docs/possible_upgrades/30-09-2026_simulation_D26_economie_Fable5.md).</t>
  </si>
  <si>
    <t>Cartes et rareté (règle G1)</t>
  </si>
  <si>
    <t>CardRarity.scaleValue (lib/models/data/card_data.dart) : à chaque palier, v = max(round(base × mult), v précédent + 1) ; pioche et mana rendu ne grandissent pas (G2) ; le coût ne change jamais</t>
  </si>
  <si>
    <t>A. Multiplicateurs et rang de fusion</t>
  </si>
  <si>
    <t>Rareté</t>
  </si>
  <si>
    <t>Rang de fusion</t>
  </si>
  <si>
    <t>Copies communes nécessaires (3^rang)</t>
  </si>
  <si>
    <t>Prix boutique (sans rune)</t>
  </si>
  <si>
    <t>Runes max en boutique</t>
  </si>
  <si>
    <t>Unique (cartes de classe)</t>
  </si>
  <si>
    <t>jamais de fusion</t>
  </si>
  <si>
    <t>B. Une valeur de base à chaque rareté</t>
  </si>
  <si>
    <t>Gain total (lég. − commune)</t>
  </si>
  <si>
    <t>Base 1 : 1 · 2 · 3 · 4 · 5 (le « au moins +1 » joue). Base 5 : 5 · 6 · 7 · 8 · 10. Base 12 : 12 · 14 · 17 · 19 · 24.</t>
  </si>
  <si>
    <t>C. Les 23 cartes, effet par effet</t>
  </si>
  <si>
    <t>Carte</t>
  </si>
  <si>
    <t>Type</t>
  </si>
  <si>
    <t>Coût</t>
  </si>
  <si>
    <t>Effet</t>
  </si>
  <si>
    <t>Note</t>
  </si>
  <si>
    <t>Éveil</t>
  </si>
  <si>
    <t>Compétence</t>
  </si>
  <si>
    <t>armor</t>
  </si>
  <si>
    <t>draw</t>
  </si>
  <si>
    <t>G2 : gelé par la rareté</t>
  </si>
  <si>
    <t>Concentration</t>
  </si>
  <si>
    <t>Défense</t>
  </si>
  <si>
    <t>Forme Démoniaque</t>
  </si>
  <si>
    <t>Pouvoir</t>
  </si>
  <si>
    <t>apply_status (might, 4 t.)</t>
  </si>
  <si>
    <t>Boule de Feu</t>
  </si>
  <si>
    <t>Attaque</t>
  </si>
  <si>
    <t>damage</t>
  </si>
  <si>
    <t>apply_status (burn, 2 t.)</t>
  </si>
  <si>
    <t>Focalisation</t>
  </si>
  <si>
    <t>gain_mana</t>
  </si>
  <si>
    <t>Potion de Soin</t>
  </si>
  <si>
    <t>heal</t>
  </si>
  <si>
    <t>Frappe Lourde</t>
  </si>
  <si>
    <t>Trait de Glace</t>
  </si>
  <si>
    <t>apply_status (freeze, 1 t.)</t>
  </si>
  <si>
    <t>Mur de Fer</t>
  </si>
  <si>
    <t>Métallisation</t>
  </si>
  <si>
    <t>apply_status (armor_regen, 2 t.)</t>
  </si>
  <si>
    <t>Coup Empoisonné</t>
  </si>
  <si>
    <t>apply_status (poison, 2 t.)</t>
  </si>
  <si>
    <t>Attaque Rapide</t>
  </si>
  <si>
    <t>Frappe</t>
  </si>
  <si>
    <t>Balayage</t>
  </si>
  <si>
    <t>Coup de Tonnerre</t>
  </si>
  <si>
    <t>apply_status (shock, 1 t.)</t>
  </si>
  <si>
    <t>Cri de Guerre</t>
  </si>
  <si>
    <t>Posture de Rage</t>
  </si>
  <si>
    <t>Unique</t>
  </si>
  <si>
    <t>apply_status (might, 1 t.)</t>
  </si>
  <si>
    <t>—</t>
  </si>
  <si>
    <t>carte de classe : ne fusionne jamais</t>
  </si>
  <si>
    <t>Frappe Téméraire</t>
  </si>
  <si>
    <t>Projectile Magique</t>
  </si>
  <si>
    <t>Surtension de Mana</t>
  </si>
  <si>
    <t>Bouclier Sacré</t>
  </si>
  <si>
    <t>Châtiment</t>
  </si>
  <si>
    <t>La Puissance s'ajoute ensuite aux dégâts (Attaque pour toutes les classes ; Compétence pour Paladin et Mage) et à l'intensité des statuts posés sur un ennemi (Paladin, Mage) — PowerRules.</t>
  </si>
  <si>
    <t>Les runes : ce qu'elles ajoutent</t>
  </si>
  <si>
    <t>CardDelta (lib/models/data/card_delta.dart) + EffectiveCard.apply ; bonus en % = max((p × L × B + 50) ÷ 100 entier, L)</t>
  </si>
  <si>
    <t>A. Catalogue</t>
  </si>
  <si>
    <t>Rune</t>
  </si>
  <si>
    <t>Delta</t>
  </si>
  <si>
    <t>Par niveau</t>
  </si>
  <si>
    <t>Plafond</t>
  </si>
  <si>
    <t>Rang min</t>
  </si>
  <si>
    <t>Brûlant</t>
  </si>
  <si>
    <t>addEffect</t>
  </si>
  <si>
    <t>aucun</t>
  </si>
  <si>
    <t>Applique {val} Brûlure</t>
  </si>
  <si>
    <t>Allégé</t>
  </si>
  <si>
    <t>reduceCost</t>
  </si>
  <si>
    <t>Coûte {val} Mana de moins (jamais sous 0)</t>
  </si>
  <si>
    <t>Économe</t>
  </si>
  <si>
    <t>Gagne +{val} Mana à l'utilisation</t>
  </si>
  <si>
    <t>Persistant</t>
  </si>
  <si>
    <t>removeExhaust</t>
  </si>
  <si>
    <t>Retire Épuisement (Exhaust)</t>
  </si>
  <si>
    <t>Congelant</t>
  </si>
  <si>
    <t>Applique {val} Gel</t>
  </si>
  <si>
    <t>Endurci</t>
  </si>
  <si>
    <t>percentBonus</t>
  </si>
  <si>
    <t>+{val} Armure sur la carte (+{percent}% de la base, au moins +{tier})</t>
  </si>
  <si>
    <t>Précis</t>
  </si>
  <si>
    <t>critBonus</t>
  </si>
  <si>
    <t>+{val}% de chance de critique sur les dégâts de la carte</t>
  </si>
  <si>
    <t>Véloce</t>
  </si>
  <si>
    <t>Pioche +{val} carte(s)</t>
  </si>
  <si>
    <t>Tranchant</t>
  </si>
  <si>
    <t>+{val} Dégâts sur la carte (+{percent}% de la base, au moins +{tier})</t>
  </si>
  <si>
    <t>Surchargé</t>
  </si>
  <si>
    <t>Applique {val} Électrocution</t>
  </si>
  <si>
    <t>Spectral</t>
  </si>
  <si>
    <t>+{val} Dégâts sur la carte (+{percent}% de la base, au moins +{tier}) ; la carte s'épuise</t>
  </si>
  <si>
    <t>B. Bonus en pourcentage (Tranchant, Endurci : 15 % ; Spectral : 40 %) sur la valeur à la rareté B</t>
  </si>
  <si>
    <t>p (Tranchant / Endurci)</t>
  </si>
  <si>
    <t>p (Spectral)</t>
  </si>
  <si>
    <t>B (valeur à la rareté)</t>
  </si>
  <si>
    <t>L = 1 (15 %)</t>
  </si>
  <si>
    <t>L = 2 (15 %)</t>
  </si>
  <si>
    <t>L = 3 (15 %)</t>
  </si>
  <si>
    <t>L = 4 (15 %)</t>
  </si>
  <si>
    <t>L = 5 (15 %)</t>
  </si>
  <si>
    <t>L = 1 (40 %)</t>
  </si>
  <si>
    <t>L = 2 (40 %)</t>
  </si>
  <si>
    <t>L = 3 (40 %)</t>
  </si>
  <si>
    <t>L = 4 (40 %)</t>
  </si>
  <si>
    <t>L = 5 (40 %)</t>
  </si>
  <si>
    <t>Le bonus se calcule sur la valeur à la rareté de la carte, jamais sur un bonus déjà ajouté : deux pourcentages sur un même effet ne se composent pas.</t>
  </si>
  <si>
    <t>C. Les autres runes</t>
  </si>
  <si>
    <t>Niveau 2</t>
  </si>
  <si>
    <t>Niveau 3</t>
  </si>
  <si>
    <t>Brûlant / Congelant / Surchargé : statut</t>
  </si>
  <si>
    <t>valeur L, durée L tours ; Congelant plafonné à 1</t>
  </si>
  <si>
    <t>Précis : + % critique sur la carte</t>
  </si>
  <si>
    <t>5 × L, plafond 10</t>
  </si>
  <si>
    <t>Allégé : coût</t>
  </si>
  <si>
    <t>−1</t>
  </si>
  <si>
    <t>plafond 1, binaire, jamais sous 0</t>
  </si>
  <si>
    <t>Économe : mana rendu</t>
  </si>
  <si>
    <t>+1</t>
  </si>
  <si>
    <t>plafond 1 (+2 si Transcendance)</t>
  </si>
  <si>
    <t>Véloce : pioche</t>
  </si>
  <si>
    <t>Persistant : retire l'Épuisement</t>
  </si>
  <si>
    <t>binaire</t>
  </si>
  <si>
    <t>Spectral : + % dégâts, la carte s'épuise</t>
  </si>
  <si>
    <t>voir B</t>
  </si>
  <si>
    <t>l'Épuisement l'emporte sur Persistant</t>
  </si>
  <si>
    <t>D. Exemple complet : Frappe (6 dégâts) légendaire + Tranchant 3 + Précis 2, Paladin à 2 de Puissance</t>
  </si>
  <si>
    <t>Dégâts de base</t>
  </si>
  <si>
    <t>Valeur légendaire (×2, règle G1)</t>
  </si>
  <si>
    <t>Niveau de Tranchant</t>
  </si>
  <si>
    <t>Bonus Tranchant</t>
  </si>
  <si>
    <t>Puissance (Attaque)</t>
  </si>
  <si>
    <t>Dégâts joués avant critique</t>
  </si>
  <si>
    <t>Chance de critique de la carte (Précis 2 = +10)</t>
  </si>
  <si>
    <t>+ la chance du héros</t>
  </si>
  <si>
    <t>E. Héritage à la fusion (ForgeRuneRules.consolidate)</t>
  </si>
  <si>
    <t>Les niveaux d'une même rune s'additionnent, bornés par le plafond effectif (maxLevel + bonus Transcendance) ; deux runes qui s'excluent : la première arrivée est gardée ; aucune limite au nombre de runes par carte.</t>
  </si>
  <si>
    <t>Exemple</t>
  </si>
  <si>
    <t>Carte 1</t>
  </si>
  <si>
    <t>Carte 2</t>
  </si>
  <si>
    <t>Carte 3</t>
  </si>
  <si>
    <t>Résultat</t>
  </si>
  <si>
    <t>sharp:1</t>
  </si>
  <si>
    <t>sharp:3</t>
  </si>
  <si>
    <t>Économe (plafond 1)</t>
  </si>
  <si>
    <t>eco:1</t>
  </si>
  <si>
    <t>eco:1 (le surplus se perd)</t>
  </si>
  <si>
    <t>Exclusion</t>
  </si>
  <si>
    <t>enduring:1</t>
  </si>
  <si>
    <t>enduring:1 seulement</t>
  </si>
  <si>
    <t>Pipeline de dégâts et statuts</t>
  </si>
  <si>
    <t>DamagePipeline.calculate (lib/game/services/damage_pipeline.dart), EntityStats.takeDamage, StatusEffectProcessor, EnemyInstance.effectiveIntent, StatRule.convertedAmount</t>
  </si>
  <si>
    <t>A. Calculateur d'une attaque (joueur ou ennemi)</t>
  </si>
  <si>
    <t>Dégâts initiaux (valeur de carte + Puissance, ou intention)</t>
  </si>
  <si>
    <t>L'attaquant est Affaibli (1 = oui)</t>
  </si>
  <si>
    <t>× 0,75 arrondi</t>
  </si>
  <si>
    <t>Coup critique (1 = oui)</t>
  </si>
  <si>
    <t>Multiplicateur de critique</t>
  </si>
  <si>
    <t>Électrocution du défenseur (valeur)</t>
  </si>
  <si>
    <t>ajoutée après le critique</t>
  </si>
  <si>
    <t>Le défenseur est Vulnérable (1 = oui)</t>
  </si>
  <si>
    <t>× 1,5 arrondi</t>
  </si>
  <si>
    <t>Armure du défenseur</t>
  </si>
  <si>
    <t>1. Après Faiblesse</t>
  </si>
  <si>
    <t>2. Après critique</t>
  </si>
  <si>
    <t>3. Après Électrocution</t>
  </si>
  <si>
    <t>4. Après Vulnérable (jamais &lt; 0)</t>
  </si>
  <si>
    <t>Armure restante</t>
  </si>
  <si>
    <t>PV perdus</t>
  </si>
  <si>
    <t>l'armure absorbe d'abord, le reste va aux PV</t>
  </si>
  <si>
    <t>B. Attaque effective d'un ennemi (EnemyInstance.effectiveIntent)</t>
  </si>
  <si>
    <t>Valeur de l'intention (pattern)</t>
  </si>
  <si>
    <t>Dégâts de base de l'ennemi</t>
  </si>
  <si>
    <t>Puissance de spawn (= round(base × multiplicateur))</t>
  </si>
  <si>
    <t>onglet Calculateur de combat</t>
  </si>
  <si>
    <t>Puissance gagnée en combat (buff)</t>
  </si>
  <si>
    <t>Gelé (1 = oui)</t>
  </si>
  <si>
    <t>× 0,5 arrondi, consommé après l'attaque</t>
  </si>
  <si>
    <t>Valeur scalée</t>
  </si>
  <si>
    <t>Valeur affichée (max(Puissance effective, scalée + bonus))</t>
  </si>
  <si>
    <t>Après Gel</t>
  </si>
  <si>
    <t>puis le pipeline A (crit de l'ennemi, Vulnérable du héros…)</t>
  </si>
  <si>
    <t>C. Statuts sur la durée</t>
  </si>
  <si>
    <t>Source : EntityStats.tickStatuses : Poison garde sa valeur et perd 1 tour ; Brûlure perd 1 de valeur et 1 tour ; Gel ne tombe qu'après l'attaque ; les autres perdent 1 tour</t>
  </si>
  <si>
    <t>Statut</t>
  </si>
  <si>
    <t>Valeur v</t>
  </si>
  <si>
    <t>Durée d</t>
  </si>
  <si>
    <t>Dégâts totaux</t>
  </si>
  <si>
    <t>Formule</t>
  </si>
  <si>
    <t>Poison</t>
  </si>
  <si>
    <t>v × d (appliqué au début du tour, avant le tic)</t>
  </si>
  <si>
    <t>Brûlure</t>
  </si>
  <si>
    <t>v + (v−1) + … jusqu'à 0 ou la fin de la durée</t>
  </si>
  <si>
    <t>Cumul</t>
  </si>
  <si>
    <t>Faiblesse</t>
  </si>
  <si>
    <t>dégâts infligés × 0,75 (arrondi)</t>
  </si>
  <si>
    <t>tout ou rien</t>
  </si>
  <si>
    <t>Vulnérable</t>
  </si>
  <si>
    <t>dégâts reçus × 1,5 (arrondi)</t>
  </si>
  <si>
    <t>Électrocution</t>
  </si>
  <si>
    <t>+ valeur sur chaque attaque directe reçue</t>
  </si>
  <si>
    <t>valeurs additionnées</t>
  </si>
  <si>
    <t>Gel</t>
  </si>
  <si>
    <t>prochaine attaque de l'ennemi × 0,5</t>
  </si>
  <si>
    <t>pas de cumul</t>
  </si>
  <si>
    <t>Puissance</t>
  </si>
  <si>
    <t>+ valeur aux dégâts orientés par la classe</t>
  </si>
  <si>
    <t>par source (ADR-104)</t>
  </si>
  <si>
    <t>Régénération d'armure</t>
  </si>
  <si>
    <t>+ valeur d'armure au début du tour</t>
  </si>
  <si>
    <t>additionné</t>
  </si>
  <si>
    <t>Vol de vie</t>
  </si>
  <si>
    <t>soigne min(valeur, dégâts infligés) par carte de dégâts</t>
  </si>
  <si>
    <t>non cumulable : max</t>
  </si>
  <si>
    <t>D. Berserker : chaque gain d'armure devient de la Puissance pour un tour (ratio 0,5, arrondi au supérieur, au moins 1)</t>
  </si>
  <si>
    <t>Ratio de la règle</t>
  </si>
  <si>
    <t>classes/berserker/class.json statRules</t>
  </si>
  <si>
    <t>Armure gagnée</t>
  </si>
  <si>
    <t>Puissance obtenue (1 tour)</t>
  </si>
  <si>
    <t>Chaque gain est converti seul : deux Défense (5) donnent 3 + 3, pas 5.</t>
  </si>
  <si>
    <t>Les neuf passifs et la Maîtrise</t>
  </si>
  <si>
    <t>assets/data/passives/*.json + PassiveStrategies (lib/game/systems/passives/passive_strategies.dart) + PassiveData.withMastery</t>
  </si>
  <si>
    <t>Passif</t>
  </si>
  <si>
    <t>Classe</t>
  </si>
  <si>
    <t>Déclencheur</t>
  </si>
  <si>
    <t>Valeur</t>
  </si>
  <si>
    <t>Durée</t>
  </si>
  <si>
    <t>Seuil</t>
  </si>
  <si>
    <t>La Maîtrise monte</t>
  </si>
  <si>
    <t>Par point</t>
  </si>
  <si>
    <t>Description</t>
  </si>
  <si>
    <t>Bénédiction</t>
  </si>
  <si>
    <t>paladin</t>
  </si>
  <si>
    <t>startOfTurn</t>
  </si>
  <si>
    <t>value</t>
  </si>
  <si>
    <t>1</t>
  </si>
  <si>
    <t>Au début du tour, chaque tranche de 5 points d'Armure survivante devient 1 PV.</t>
  </si>
  <si>
    <t>Soif de Sang</t>
  </si>
  <si>
    <t>berserker</t>
  </si>
  <si>
    <t>onAttackPlayed</t>
  </si>
  <si>
    <t>Jouer une Attaque arme le Vol de Vie pendant 2 tours : 1 PV par carte de dégâts, plus 1 par quart de PV manquants.</t>
  </si>
  <si>
    <t>Canalisation</t>
  </si>
  <si>
    <t>mage</t>
  </si>
  <si>
    <t>endOfTurn</t>
  </si>
  <si>
    <t>À la fin du tour, chaque point de Mana non dépensé devient 1 point d'Armure.</t>
  </si>
  <si>
    <t>Ferveur</t>
  </si>
  <si>
    <t>onDamageTaken</t>
  </si>
  <si>
    <t>Quand votre Armure encaisse des dégâts, gagne 1 Puissance pendant 2 tours.</t>
  </si>
  <si>
    <t>Frénésie</t>
  </si>
  <si>
    <t>onEnemyKilled</t>
  </si>
  <si>
    <t>Chaque ennemi abattu donne 2 Puissance pour le tour et fait piocher 1 carte.</t>
  </si>
  <si>
    <t>Marque du Mage</t>
  </si>
  <si>
    <t>duration</t>
  </si>
  <si>
    <t>La première Attaque de chaque tour rend sa cible Vulnérable pendant 2 tours.</t>
  </si>
  <si>
    <t>Flux de Mana</t>
  </si>
  <si>
    <t>onSkillPlayed</t>
  </si>
  <si>
    <t>threshold</t>
  </si>
  <si>
    <t>-1 (plancher 2)</t>
  </si>
  <si>
    <t>Toutes les 3 Compétences jouées dans un combat, gagne 1 Mana pour le tour en cours. La Maîtrise abaisse ce seuil, jamais sous 2.</t>
  </si>
  <si>
    <t>Rage</t>
  </si>
  <si>
    <t>Au début du tour, gagne 1 Puissance pour le tour, plus 1 par tranche de 10 PV manquants.</t>
  </si>
  <si>
    <t>Régénération d'Armure</t>
  </si>
  <si>
    <t>Gagne 2 points d'Armure automatiquement à la fin de chaque tour.</t>
  </si>
  <si>
    <t>B. Formules avec la Maîtrise m</t>
  </si>
  <si>
    <t>Maîtrise effective m</t>
  </si>
  <si>
    <t>Paladin part à 1 ; Affinité +1/2/3/5/7 ; Kunaï +1 par 3 attaques dans un tour (combat)</t>
  </si>
  <si>
    <t>PV courants</t>
  </si>
  <si>
    <t>Armure survivante au début du tour</t>
  </si>
  <si>
    <t>Mana non dépensé en fin de tour</t>
  </si>
  <si>
    <t>Régénération d'armure (fin de tour)</t>
  </si>
  <si>
    <t>2 + m armure</t>
  </si>
  <si>
    <t>Ferveur (armure qui encaisse)</t>
  </si>
  <si>
    <t>(1 + m) Puissance pendant 2 tours</t>
  </si>
  <si>
    <t>Bénédiction (début de tour)</t>
  </si>
  <si>
    <t>⌊armure survivante ÷ 5⌋ × (1 + m) PV</t>
  </si>
  <si>
    <t>Rage (début de tour)</t>
  </si>
  <si>
    <t>(1 + m) × (1 + ⌊PV manquants ÷ 10⌋) Puissance, 1 tour</t>
  </si>
  <si>
    <t>Soif de Sang (Attaque jouée)</t>
  </si>
  <si>
    <t>(1 + m) + ⌊% PV manquants ÷ 25⌋ PV volés par carte de dégâts, 2 tours</t>
  </si>
  <si>
    <t>Frénésie (ennemi abattu)</t>
  </si>
  <si>
    <t>(2 + m) Puissance pour le tour + 1 carte</t>
  </si>
  <si>
    <t>Canalisation (fin de tour)</t>
  </si>
  <si>
    <t>mana restant × (1 + m) armure</t>
  </si>
  <si>
    <t>Marque du Mage (1re Attaque du tour)</t>
  </si>
  <si>
    <t>Vulnérable pendant 2 + m tours</t>
  </si>
  <si>
    <t>Flux de Mana (Compétences jouées)</t>
  </si>
  <si>
    <t>+1 Mana toutes les max(2, 3 − m) Compétences du combat</t>
  </si>
  <si>
    <t>C. Rage et Soif de Sang selon les PV manquants (Berserker, 80 PV max)</t>
  </si>
  <si>
    <t>PV manquants</t>
  </si>
  <si>
    <t>Rage, m = 0</t>
  </si>
  <si>
    <t>Rage, m = 1</t>
  </si>
  <si>
    <t>Rage, m = 3</t>
  </si>
  <si>
    <t>Soif de Sang, m = 0</t>
  </si>
  <si>
    <t>Soif de Sang, m = 2</t>
  </si>
  <si>
    <t>D. Bénédiction selon l'armure survivante (seuil 5)</t>
  </si>
  <si>
    <t>Armure survivante</t>
  </si>
  <si>
    <t>PV, m = 0</t>
  </si>
  <si>
    <t>PV, m = 1</t>
  </si>
  <si>
    <t>PV, m = 3</t>
  </si>
  <si>
    <t>Héros, récompenses de niveau et reliques</t>
  </si>
  <si>
    <t>assets/data/classes/*/class.json, level_up_rewards/*.json, relics/*.json ; RestScreen (repos 30 %)</t>
  </si>
  <si>
    <t>A. Classes</t>
  </si>
  <si>
    <t>Critique</t>
  </si>
  <si>
    <t>Maîtrise</t>
  </si>
  <si>
    <t>Chance</t>
  </si>
  <si>
    <t>Puissance oriente vers</t>
  </si>
  <si>
    <t>Règle de stat</t>
  </si>
  <si>
    <t>Cartes de signature</t>
  </si>
  <si>
    <t>Le Berserker</t>
  </si>
  <si>
    <t>attack</t>
  </si>
  <si>
    <t>armor → status:might ×0.5 (1 t.)</t>
  </si>
  <si>
    <t>reckless_strike, rage_form</t>
  </si>
  <si>
    <t>Le Mage</t>
  </si>
  <si>
    <t>skill, alteration</t>
  </si>
  <si>
    <t>magic_missile, mana_surge</t>
  </si>
  <si>
    <t>Le Paladin</t>
  </si>
  <si>
    <t>attack, skill, alteration</t>
  </si>
  <si>
    <t>holy_shield, smite</t>
  </si>
  <si>
    <t>Deck de départ : 2 cartes de signature + 5 cartes neutres choisies parmi 17 = 7 cartes. Main de 5 par tour, main max 10, mana rendu au max chaque tour, armure remise à 0 au début du tour.</t>
  </si>
  <si>
    <t>B. Récompenses de niveau et leur espérance (probabilités de l'autre classeur, Chance 0)</t>
  </si>
  <si>
    <t>P (Chance 0)</t>
  </si>
  <si>
    <t>Total</t>
  </si>
  <si>
    <t>Source : LevelUpRewardService._slotWeights à Chance 0 — onglet « Niveau (draft) » du classeur des probabilités pour toute autre Chance.</t>
  </si>
  <si>
    <t>Récompense</t>
  </si>
  <si>
    <t>Stat</t>
  </si>
  <si>
    <t>Espérance par emplacement</t>
  </si>
  <si>
    <t>Mythique</t>
  </si>
  <si>
    <t>Vitalité</t>
  </si>
  <si>
    <t>maxHp</t>
  </si>
  <si>
    <t>Aiguisage</t>
  </si>
  <si>
    <t>might</t>
  </si>
  <si>
    <t>Affinité</t>
  </si>
  <si>
    <t>mastery</t>
  </si>
  <si>
    <t>Sagesse</t>
  </si>
  <si>
    <t>maxMana</t>
  </si>
  <si>
    <t>Précision</t>
  </si>
  <si>
    <t>critChance</t>
  </si>
  <si>
    <t>Férocité</t>
  </si>
  <si>
    <t>critDamage</t>
  </si>
  <si>
    <t>Trèfle à 4 feuilles</t>
  </si>
  <si>
    <t>luck</t>
  </si>
  <si>
    <t>Miroir</t>
  </si>
  <si>
    <t>cloneCard</t>
  </si>
  <si>
    <t>Transcendance</t>
  </si>
  <si>
    <t>raiseRuneCap</t>
  </si>
  <si>
    <t>Férocité : points de % de dégâts critiques (+10 → multiplicateur +0,10). Mythiques : Sagesse +1 Mana max, Trèfle +1 Chance, Miroir (clone), Transcendance (plafond de rune +1).</t>
  </si>
  <si>
    <t>C. Reliques</t>
  </si>
  <si>
    <t>Relique</t>
  </si>
  <si>
    <t>Bandage de voyage</t>
  </si>
  <si>
    <t>Restaure 1 PV à la fin de chaque tour.</t>
  </si>
  <si>
    <t>Talisman de Fer</t>
  </si>
  <si>
    <t>gain_armor</t>
  </si>
  <si>
    <t>Gagne 2 points d'Armure au début de chaque tour.</t>
  </si>
  <si>
    <t>Bottes en cuir</t>
  </si>
  <si>
    <t>startOfCombat</t>
  </si>
  <si>
    <t>Gagne 3 points d'Armure au début du combat.</t>
  </si>
  <si>
    <t>Pièce de chance</t>
  </si>
  <si>
    <t>startOfRun</t>
  </si>
  <si>
    <t>gain_crit</t>
  </si>
  <si>
    <t>+5 de chance de coup critique de manière permanente pour toute la run.</t>
  </si>
  <si>
    <t>Pierre à aiguiser</t>
  </si>
  <si>
    <t>gain_might</t>
  </si>
  <si>
    <t>+1 Puissance de manière permanente pour toute la run.</t>
  </si>
  <si>
    <t>Bouclier Ancestral</t>
  </si>
  <si>
    <t>Gagne 5 points d'Armure au début du combat.</t>
  </si>
  <si>
    <t>Lame Maudite</t>
  </si>
  <si>
    <t>+2 Puissance de manière permanente pour toute la run.</t>
  </si>
  <si>
    <t>Porte-bonheur</t>
  </si>
  <si>
    <t>+10 de chance de coup critique de manière permanente pour toute la run.</t>
  </si>
  <si>
    <t>Plume de scribe</t>
  </si>
  <si>
    <t>onCardPlayed</t>
  </si>
  <si>
    <t>charge_might_turn</t>
  </si>
  <si>
    <t>Toutes les 5 cartes jouées, gagne 3 Puissance pour le tour en cours.</t>
  </si>
  <si>
    <t>Rune de Protection</t>
  </si>
  <si>
    <t>Gagne 3 points d'Armure à la fin de chaque tour.</t>
  </si>
  <si>
    <t>Croc Vampirique</t>
  </si>
  <si>
    <t>Restaure 8 PV chaque fois qu'un ennemi meurt.</t>
  </si>
  <si>
    <t>Registre des primes</t>
  </si>
  <si>
    <t>increase_elite_card_chance</t>
  </si>
  <si>
    <t>Après un combat d'élite, +25 % de chance de trouver une seconde carte.</t>
  </si>
  <si>
    <t>Lentille de Focalisation</t>
  </si>
  <si>
    <t>+15 de chance de coup critique de manière permanente pour toute la run.</t>
  </si>
  <si>
    <t>Sacoche du glaneur</t>
  </si>
  <si>
    <t>increase_combat_card_drops</t>
  </si>
  <si>
    <t>Après un combat normal, trouvez une carte de plus.</t>
  </si>
  <si>
    <t>Encensoir</t>
  </si>
  <si>
    <t>charge_armor_turn</t>
  </si>
  <si>
    <t>Tous les 4 tours, gagne 8 points d'Armure.</t>
  </si>
  <si>
    <t>Croc Kunaï</t>
  </si>
  <si>
    <t>charge_mastery_combat</t>
  </si>
  <si>
    <t>Toutes les 3 attaques jouées dans un tour, gagne 1 Maîtrise pour le combat.</t>
  </si>
  <si>
    <t>Amulette du Mage</t>
  </si>
  <si>
    <t>Gagne 1 point d'Armure chaque fois que vous jouez une carte.</t>
  </si>
  <si>
    <t>Cristal de Mana</t>
  </si>
  <si>
    <t>Gagne 1 Mana au début du combat.</t>
  </si>
  <si>
    <t>Anneau de Régénération</t>
  </si>
  <si>
    <t>Restaure 2 PV à la fin de chaque tour.</t>
  </si>
  <si>
    <t>Shuriken</t>
  </si>
  <si>
    <t>charge_might_combat</t>
  </si>
  <si>
    <t>Toutes les 3 attaques jouées dans un tour, gagne 1 Puissance pour le combat.</t>
  </si>
  <si>
    <t>Essence Spirituelle</t>
  </si>
  <si>
    <t>Gagne 1 Mana chaque fois qu'un ennemi meurt.</t>
  </si>
  <si>
    <t>Pierre d'Énergie</t>
  </si>
  <si>
    <t>Gagne 1 Mana au début de chaque tour.</t>
  </si>
  <si>
    <t>Trèfle Enchanté</t>
  </si>
  <si>
    <t>gain_luck</t>
  </si>
  <si>
    <t>+1 Chance de manière permanente pour toute la run.</t>
  </si>
  <si>
    <t>Plume de Phénix</t>
  </si>
  <si>
    <t>Gagne 2 Mana au début du combat.</t>
  </si>
  <si>
    <t>Couronne des Rois</t>
  </si>
  <si>
    <t>Gagne 1 Mana Max de manière permanente au début de la run.</t>
  </si>
  <si>
    <t>Dé de Fortune</t>
  </si>
  <si>
    <t>+2 Chance de manière permanente pour toute la run.</t>
  </si>
  <si>
    <t>Meule</t>
  </si>
  <si>
    <t>increase_boss_rune_sharpens</t>
  </si>
  <si>
    <t>La récompense du Boss d'XP fait gagner un niveau à une rune de plus, si l'une peut encore monter.</t>
  </si>
  <si>
    <t>Besace de l'Érudit</t>
  </si>
  <si>
    <t>increase_cards_per_turn</t>
  </si>
  <si>
    <t>Pioche 1 carte supplémentaire au début de chaque tour, pour toute la run.</t>
  </si>
  <si>
    <t>Reliques à charges : Kunaï et Shuriken toutes les 3 attaques d'un tour ; Plume de scribe toutes les 5 cartes (combat) ; Encensoir tous les 4 tours.</t>
  </si>
  <si>
    <t>D. Soins hors combat</t>
  </si>
  <si>
    <t>Source</t>
  </si>
  <si>
    <t>Exemple à 100 PV max</t>
  </si>
  <si>
    <t>Feu de camp — repos</t>
  </si>
  <si>
    <t>round(PV max × 0,30)</t>
  </si>
  <si>
    <t>Boutique — potion (30 or)</t>
  </si>
  <si>
    <t>round(PV max × 0,30), une fois par boutique</t>
  </si>
  <si>
    <t>Colporteur — remèdes</t>
  </si>
  <si>
    <t>round(PV max × 0,20), si PV &lt; 50 %</t>
  </si>
  <si>
    <t>Rémouleur — coût</t>
  </si>
  <si>
    <t>round(PV max × 0,10) PV perdus</t>
  </si>
  <si>
    <t>Événements</t>
  </si>
  <si>
    <t>+15 / +25 / +30 PV fixes, −10 / −12 / −15 / −18 PV</t>
  </si>
  <si>
    <t>Cadence de la pioche</t>
  </si>
  <si>
    <t>TurnPhaseManager : cardsPerTurn (5) à l'ouverture et à chaque tour ; DeckNotifier : remélange à sec, arrêt net à la main max (10)</t>
  </si>
  <si>
    <t>Cartes par tour</t>
  </si>
  <si>
    <t>+1 par Besace de l'Érudit</t>
  </si>
  <si>
    <t>Main max</t>
  </si>
  <si>
    <t>Taille du deck</t>
  </si>
  <si>
    <t>Tours pour voir tout le deck</t>
  </si>
  <si>
    <t>Cartes vues au tour 3</t>
  </si>
  <si>
    <t>Remélanges en 10 tours</t>
  </si>
  <si>
    <t>Part du deck en main au tour 1</t>
  </si>
  <si>
    <t>deck de départ</t>
  </si>
  <si>
    <t>Un deck de 7 est entièrement vu au tour 2 et remélangé toutes les 1,4 pioches : chaque carte revient très vite ; à 36 cartes (acte 15 médian), il faut 8 tours.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</si>
</sst>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&quot; or&quot;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0000FF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2" fontId="6" fillId="0" borderId="1" xfId="0" applyNumberFormat="1" applyFont="1" applyBorder="1"/>
    <xf numFmtId="1" fontId="6" fillId="0" borderId="1" xfId="0" applyNumberFormat="1" applyFont="1" applyBorder="1"/>
    <xf numFmtId="1" fontId="7" fillId="4" borderId="1" xfId="0" applyNumberFormat="1" applyFont="1" applyFill="1" applyBorder="1"/>
    <xf numFmtId="1" fontId="5" fillId="0" borderId="1" xfId="0" applyNumberFormat="1" applyFont="1" applyBorder="1"/>
    <xf numFmtId="2" fontId="5" fillId="0" borderId="1" xfId="0" applyNumberFormat="1" applyFont="1" applyBorder="1"/>
    <xf numFmtId="1" fontId="8" fillId="0" borderId="1" xfId="0" applyNumberFormat="1" applyFont="1" applyBorder="1"/>
    <xf numFmtId="2" fontId="8" fillId="0" borderId="1" xfId="0" applyNumberFormat="1" applyFont="1" applyBorder="1"/>
    <xf numFmtId="164" fontId="5" fillId="0" borderId="1" xfId="0" applyNumberFormat="1" applyFont="1" applyBorder="1"/>
    <xf numFmtId="0" fontId="6" fillId="0" borderId="1" xfId="0" applyFont="1" applyBorder="1"/>
    <xf numFmtId="0" fontId="2" fillId="0" borderId="1" xfId="0" applyFont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2" fontId="7" fillId="4" borderId="1" xfId="0" applyNumberFormat="1" applyFont="1" applyFill="1" applyBorder="1"/>
    <xf numFmtId="164" fontId="6" fillId="0" borderId="1" xfId="0" applyNumberFormat="1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workbookViewId="0"/>
  </sheetViews>
  <sheetFormatPr baseColWidth="10" defaultColWidth="9.06640625" defaultRowHeight="14.25" x14ac:dyDescent="0.45"/>
  <cols>
    <col min="1" max="1" width="34" customWidth="1"/>
    <col min="2" max="2" width="95" customWidth="1"/>
  </cols>
  <sheetData>
    <row r="1" spans="1:2" ht="17.649999999999999" x14ac:dyDescent="0.5">
      <c r="A1" s="1" t="s">
        <v>0</v>
      </c>
    </row>
    <row r="2" spans="1:2" x14ac:dyDescent="0.45">
      <c r="A2" s="2" t="s">
        <v>1</v>
      </c>
    </row>
    <row r="4" spans="1:2" x14ac:dyDescent="0.45">
      <c r="A4" s="3" t="s">
        <v>2</v>
      </c>
      <c r="B4" s="3"/>
    </row>
    <row r="5" spans="1:2" x14ac:dyDescent="0.45">
      <c r="A5" s="4" t="s">
        <v>3</v>
      </c>
      <c r="B5" s="5" t="s">
        <v>4</v>
      </c>
    </row>
    <row r="6" spans="1:2" x14ac:dyDescent="0.45">
      <c r="A6" s="4" t="s">
        <v>5</v>
      </c>
      <c r="B6" s="5" t="s">
        <v>6</v>
      </c>
    </row>
    <row r="7" spans="1:2" x14ac:dyDescent="0.45">
      <c r="A7" s="4" t="s">
        <v>7</v>
      </c>
      <c r="B7" s="5" t="s">
        <v>8</v>
      </c>
    </row>
    <row r="8" spans="1:2" x14ac:dyDescent="0.45">
      <c r="A8" s="4" t="s">
        <v>9</v>
      </c>
      <c r="B8" s="5" t="s">
        <v>10</v>
      </c>
    </row>
    <row r="9" spans="1:2" x14ac:dyDescent="0.45">
      <c r="A9" s="4" t="s">
        <v>11</v>
      </c>
      <c r="B9" s="5" t="s">
        <v>12</v>
      </c>
    </row>
    <row r="11" spans="1:2" x14ac:dyDescent="0.45">
      <c r="A11" s="3" t="s">
        <v>13</v>
      </c>
      <c r="B11" s="3"/>
    </row>
    <row r="12" spans="1:2" x14ac:dyDescent="0.45">
      <c r="A12" s="6" t="s">
        <v>14</v>
      </c>
      <c r="B12" s="6" t="s">
        <v>15</v>
      </c>
    </row>
    <row r="13" spans="1:2" x14ac:dyDescent="0.45">
      <c r="A13" s="7" t="s">
        <v>16</v>
      </c>
      <c r="B13" s="8" t="s">
        <v>17</v>
      </c>
    </row>
    <row r="14" spans="1:2" x14ac:dyDescent="0.45">
      <c r="A14" s="7" t="s">
        <v>18</v>
      </c>
      <c r="B14" s="8" t="s">
        <v>19</v>
      </c>
    </row>
    <row r="15" spans="1:2" x14ac:dyDescent="0.45">
      <c r="A15" s="7" t="s">
        <v>20</v>
      </c>
      <c r="B15" s="8" t="s">
        <v>21</v>
      </c>
    </row>
    <row r="16" spans="1:2" x14ac:dyDescent="0.45">
      <c r="A16" s="7" t="s">
        <v>22</v>
      </c>
      <c r="B16" s="8" t="s">
        <v>23</v>
      </c>
    </row>
    <row r="17" spans="1:2" x14ac:dyDescent="0.45">
      <c r="A17" s="7" t="s">
        <v>24</v>
      </c>
      <c r="B17" s="8" t="s">
        <v>25</v>
      </c>
    </row>
    <row r="18" spans="1:2" x14ac:dyDescent="0.45">
      <c r="A18" s="7" t="s">
        <v>26</v>
      </c>
      <c r="B18" s="8" t="s">
        <v>27</v>
      </c>
    </row>
    <row r="19" spans="1:2" x14ac:dyDescent="0.45">
      <c r="A19" s="7" t="s">
        <v>28</v>
      </c>
      <c r="B19" s="8" t="s">
        <v>29</v>
      </c>
    </row>
    <row r="20" spans="1:2" x14ac:dyDescent="0.45">
      <c r="A20" s="7" t="s">
        <v>30</v>
      </c>
      <c r="B20" s="8" t="s">
        <v>31</v>
      </c>
    </row>
    <row r="21" spans="1:2" x14ac:dyDescent="0.45">
      <c r="A21" s="7" t="s">
        <v>32</v>
      </c>
      <c r="B21" s="8" t="s">
        <v>33</v>
      </c>
    </row>
    <row r="22" spans="1:2" x14ac:dyDescent="0.45">
      <c r="A22" s="7" t="s">
        <v>34</v>
      </c>
      <c r="B22" s="8" t="s">
        <v>35</v>
      </c>
    </row>
    <row r="23" spans="1:2" x14ac:dyDescent="0.45">
      <c r="A23" s="7" t="s">
        <v>36</v>
      </c>
      <c r="B23" s="8" t="s">
        <v>37</v>
      </c>
    </row>
    <row r="25" spans="1:2" x14ac:dyDescent="0.45">
      <c r="A2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0"/>
  <sheetViews>
    <sheetView showGridLines="0" workbookViewId="0"/>
  </sheetViews>
  <sheetFormatPr baseColWidth="10" defaultColWidth="9.06640625" defaultRowHeight="14.25" x14ac:dyDescent="0.45"/>
  <cols>
    <col min="1" max="1" width="8" customWidth="1"/>
    <col min="2" max="3" width="9" customWidth="1"/>
    <col min="4" max="5" width="12" customWidth="1"/>
    <col min="6" max="6" width="9" customWidth="1"/>
    <col min="7" max="9" width="10" customWidth="1"/>
    <col min="10" max="19" width="12" customWidth="1"/>
  </cols>
  <sheetData>
    <row r="1" spans="1:19" ht="17.649999999999999" x14ac:dyDescent="0.5">
      <c r="A1" s="1" t="s">
        <v>16</v>
      </c>
    </row>
    <row r="2" spans="1:19" x14ac:dyDescent="0.45">
      <c r="A2" s="2" t="s">
        <v>39</v>
      </c>
    </row>
    <row r="4" spans="1:19" x14ac:dyDescent="0.45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45">
      <c r="A5" s="5" t="s">
        <v>41</v>
      </c>
      <c r="B5" s="9">
        <v>1.35</v>
      </c>
      <c r="C5" s="2" t="s">
        <v>42</v>
      </c>
    </row>
    <row r="6" spans="1:19" x14ac:dyDescent="0.45">
      <c r="A6" s="5" t="s">
        <v>43</v>
      </c>
      <c r="B6" s="9">
        <v>1.25</v>
      </c>
      <c r="C6" s="2" t="s">
        <v>44</v>
      </c>
    </row>
    <row r="7" spans="1:19" x14ac:dyDescent="0.45">
      <c r="A7" s="5" t="s">
        <v>45</v>
      </c>
      <c r="B7" s="9">
        <v>0.05</v>
      </c>
      <c r="C7" s="2" t="s">
        <v>46</v>
      </c>
    </row>
    <row r="8" spans="1:19" x14ac:dyDescent="0.45">
      <c r="A8" s="5" t="s">
        <v>47</v>
      </c>
      <c r="B8" s="9">
        <v>0.03</v>
      </c>
      <c r="C8" s="2" t="s">
        <v>48</v>
      </c>
    </row>
    <row r="9" spans="1:19" x14ac:dyDescent="0.45">
      <c r="A9" s="5" t="s">
        <v>49</v>
      </c>
      <c r="B9" s="10">
        <v>2</v>
      </c>
      <c r="C9" s="2" t="s">
        <v>50</v>
      </c>
    </row>
    <row r="10" spans="1:19" x14ac:dyDescent="0.45">
      <c r="A10" s="5" t="s">
        <v>51</v>
      </c>
      <c r="B10" s="10">
        <v>5</v>
      </c>
      <c r="C10" s="2" t="s">
        <v>52</v>
      </c>
    </row>
    <row r="11" spans="1:19" x14ac:dyDescent="0.45">
      <c r="A11" s="5" t="s">
        <v>53</v>
      </c>
      <c r="B11" s="9">
        <v>0.06</v>
      </c>
      <c r="C11" s="2" t="s">
        <v>54</v>
      </c>
    </row>
    <row r="12" spans="1:19" x14ac:dyDescent="0.45">
      <c r="A12" s="5" t="s">
        <v>55</v>
      </c>
      <c r="B12" s="9">
        <v>0.04</v>
      </c>
      <c r="C12" s="2" t="s">
        <v>56</v>
      </c>
    </row>
    <row r="13" spans="1:19" x14ac:dyDescent="0.45">
      <c r="A13" s="5" t="s">
        <v>57</v>
      </c>
      <c r="B13" s="11">
        <v>2</v>
      </c>
      <c r="C13" s="2" t="s">
        <v>58</v>
      </c>
    </row>
    <row r="15" spans="1:19" x14ac:dyDescent="0.45">
      <c r="A15" s="6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6" t="s">
        <v>65</v>
      </c>
      <c r="H15" s="6" t="s">
        <v>66</v>
      </c>
      <c r="I15" s="6" t="s">
        <v>67</v>
      </c>
      <c r="J15" s="6" t="s">
        <v>68</v>
      </c>
      <c r="K15" s="6" t="s">
        <v>69</v>
      </c>
      <c r="L15" s="6" t="s">
        <v>70</v>
      </c>
      <c r="M15" s="6" t="s">
        <v>71</v>
      </c>
      <c r="N15" s="6" t="s">
        <v>72</v>
      </c>
      <c r="O15" s="6" t="s">
        <v>73</v>
      </c>
      <c r="P15" s="6" t="s">
        <v>74</v>
      </c>
      <c r="Q15" s="6" t="s">
        <v>75</v>
      </c>
      <c r="R15" s="6" t="s">
        <v>76</v>
      </c>
      <c r="S15" s="6" t="s">
        <v>77</v>
      </c>
    </row>
    <row r="16" spans="1:19" x14ac:dyDescent="0.45">
      <c r="A16" s="10">
        <v>1</v>
      </c>
      <c r="B16" s="12">
        <f t="shared" ref="B16:B35" si="0">INT((A16-1)/$B$9)</f>
        <v>0</v>
      </c>
      <c r="C16" s="12">
        <f t="shared" ref="C16:C35" si="1">MOD(A16-1,$B$9)</f>
        <v>0</v>
      </c>
      <c r="D16" s="13">
        <f t="shared" ref="D16:D35" si="2">$B$5^B16*(1+$B$7*C16)</f>
        <v>1</v>
      </c>
      <c r="E16" s="13">
        <f t="shared" ref="E16:E35" si="3">$B$6^B16*(1+$B$8*C16)</f>
        <v>1</v>
      </c>
      <c r="F16" s="12">
        <f t="shared" ref="F16:F35" si="4">MIN(3,1+INT((A16-1)/$B$10))</f>
        <v>1</v>
      </c>
      <c r="G16" s="12">
        <f t="shared" ref="G16:G35" si="5">A16</f>
        <v>1</v>
      </c>
      <c r="H16" s="12">
        <f t="shared" ref="H16:H35" si="6">1+INT((A16-1)/2)</f>
        <v>1</v>
      </c>
      <c r="I16" s="12">
        <f t="shared" ref="I16:I35" si="7">1+INT((A16-1)/5)</f>
        <v>1</v>
      </c>
      <c r="J16" s="12">
        <f t="shared" ref="J16:J35" si="8">1+$B$13*(A16-1)</f>
        <v>1</v>
      </c>
      <c r="K16" s="12">
        <f t="shared" ref="K16:K35" si="9">J16</f>
        <v>1</v>
      </c>
      <c r="L16" s="12">
        <f t="shared" ref="L16:L35" si="10">J16+1</f>
        <v>2</v>
      </c>
      <c r="M16" s="12">
        <f t="shared" ref="M16:M35" si="11">J16+2</f>
        <v>3</v>
      </c>
      <c r="N16" s="13">
        <f t="shared" ref="N16:N35" si="12">(1+$B$11*(K16-1))*D16</f>
        <v>1</v>
      </c>
      <c r="O16" s="13">
        <f t="shared" ref="O16:O35" si="13">(1+$B$12*(K16-1))*E16</f>
        <v>1</v>
      </c>
      <c r="P16" s="13">
        <f t="shared" ref="P16:P35" si="14">(1+$B$11*(L16-1))*D16*1.5</f>
        <v>1.59</v>
      </c>
      <c r="Q16" s="13">
        <f t="shared" ref="Q16:Q35" si="15">(1+$B$12*(L16-1))*E16*1.5</f>
        <v>1.56</v>
      </c>
      <c r="R16" s="13">
        <f t="shared" ref="R16:R35" si="16">(1+$B$11*(M16-1))*D16*3</f>
        <v>3.3600000000000003</v>
      </c>
      <c r="S16" s="13">
        <f t="shared" ref="S16:S35" si="17">(1+$B$12*(M16-1))*E16*3</f>
        <v>3.24</v>
      </c>
    </row>
    <row r="17" spans="1:19" x14ac:dyDescent="0.45">
      <c r="A17" s="10">
        <v>2</v>
      </c>
      <c r="B17" s="12">
        <f t="shared" si="0"/>
        <v>0</v>
      </c>
      <c r="C17" s="12">
        <f t="shared" si="1"/>
        <v>1</v>
      </c>
      <c r="D17" s="13">
        <f t="shared" si="2"/>
        <v>1.05</v>
      </c>
      <c r="E17" s="13">
        <f t="shared" si="3"/>
        <v>1.03</v>
      </c>
      <c r="F17" s="12">
        <f t="shared" si="4"/>
        <v>1</v>
      </c>
      <c r="G17" s="12">
        <f t="shared" si="5"/>
        <v>2</v>
      </c>
      <c r="H17" s="12">
        <f t="shared" si="6"/>
        <v>1</v>
      </c>
      <c r="I17" s="12">
        <f t="shared" si="7"/>
        <v>1</v>
      </c>
      <c r="J17" s="12">
        <f t="shared" si="8"/>
        <v>3</v>
      </c>
      <c r="K17" s="12">
        <f t="shared" si="9"/>
        <v>3</v>
      </c>
      <c r="L17" s="12">
        <f t="shared" si="10"/>
        <v>4</v>
      </c>
      <c r="M17" s="12">
        <f t="shared" si="11"/>
        <v>5</v>
      </c>
      <c r="N17" s="13">
        <f t="shared" si="12"/>
        <v>1.1760000000000002</v>
      </c>
      <c r="O17" s="13">
        <f t="shared" si="13"/>
        <v>1.1124000000000001</v>
      </c>
      <c r="P17" s="13">
        <f t="shared" si="14"/>
        <v>1.8584999999999998</v>
      </c>
      <c r="Q17" s="13">
        <f t="shared" si="15"/>
        <v>1.7304000000000004</v>
      </c>
      <c r="R17" s="13">
        <f t="shared" si="16"/>
        <v>3.9060000000000001</v>
      </c>
      <c r="S17" s="13">
        <f t="shared" si="17"/>
        <v>3.5843999999999996</v>
      </c>
    </row>
    <row r="18" spans="1:19" x14ac:dyDescent="0.45">
      <c r="A18" s="10">
        <v>3</v>
      </c>
      <c r="B18" s="12">
        <f t="shared" si="0"/>
        <v>1</v>
      </c>
      <c r="C18" s="12">
        <f t="shared" si="1"/>
        <v>0</v>
      </c>
      <c r="D18" s="13">
        <f t="shared" si="2"/>
        <v>1.35</v>
      </c>
      <c r="E18" s="13">
        <f t="shared" si="3"/>
        <v>1.25</v>
      </c>
      <c r="F18" s="12">
        <f t="shared" si="4"/>
        <v>1</v>
      </c>
      <c r="G18" s="12">
        <f t="shared" si="5"/>
        <v>3</v>
      </c>
      <c r="H18" s="12">
        <f t="shared" si="6"/>
        <v>2</v>
      </c>
      <c r="I18" s="12">
        <f t="shared" si="7"/>
        <v>1</v>
      </c>
      <c r="J18" s="12">
        <f t="shared" si="8"/>
        <v>5</v>
      </c>
      <c r="K18" s="12">
        <f t="shared" si="9"/>
        <v>5</v>
      </c>
      <c r="L18" s="12">
        <f t="shared" si="10"/>
        <v>6</v>
      </c>
      <c r="M18" s="12">
        <f t="shared" si="11"/>
        <v>7</v>
      </c>
      <c r="N18" s="13">
        <f t="shared" si="12"/>
        <v>1.6740000000000002</v>
      </c>
      <c r="O18" s="13">
        <f t="shared" si="13"/>
        <v>1.45</v>
      </c>
      <c r="P18" s="13">
        <f t="shared" si="14"/>
        <v>2.6325000000000003</v>
      </c>
      <c r="Q18" s="13">
        <f t="shared" si="15"/>
        <v>2.25</v>
      </c>
      <c r="R18" s="13">
        <f t="shared" si="16"/>
        <v>5.5079999999999991</v>
      </c>
      <c r="S18" s="13">
        <f t="shared" si="17"/>
        <v>4.6500000000000004</v>
      </c>
    </row>
    <row r="19" spans="1:19" x14ac:dyDescent="0.45">
      <c r="A19" s="10">
        <v>4</v>
      </c>
      <c r="B19" s="12">
        <f t="shared" si="0"/>
        <v>1</v>
      </c>
      <c r="C19" s="12">
        <f t="shared" si="1"/>
        <v>1</v>
      </c>
      <c r="D19" s="13">
        <f t="shared" si="2"/>
        <v>1.4175000000000002</v>
      </c>
      <c r="E19" s="13">
        <f t="shared" si="3"/>
        <v>1.2875000000000001</v>
      </c>
      <c r="F19" s="12">
        <f t="shared" si="4"/>
        <v>1</v>
      </c>
      <c r="G19" s="12">
        <f t="shared" si="5"/>
        <v>4</v>
      </c>
      <c r="H19" s="12">
        <f t="shared" si="6"/>
        <v>2</v>
      </c>
      <c r="I19" s="12">
        <f t="shared" si="7"/>
        <v>1</v>
      </c>
      <c r="J19" s="12">
        <f t="shared" si="8"/>
        <v>7</v>
      </c>
      <c r="K19" s="12">
        <f t="shared" si="9"/>
        <v>7</v>
      </c>
      <c r="L19" s="12">
        <f t="shared" si="10"/>
        <v>8</v>
      </c>
      <c r="M19" s="12">
        <f t="shared" si="11"/>
        <v>9</v>
      </c>
      <c r="N19" s="13">
        <f t="shared" si="12"/>
        <v>1.9278000000000002</v>
      </c>
      <c r="O19" s="13">
        <f t="shared" si="13"/>
        <v>1.5965</v>
      </c>
      <c r="P19" s="13">
        <f t="shared" si="14"/>
        <v>3.0192750000000004</v>
      </c>
      <c r="Q19" s="13">
        <f t="shared" si="15"/>
        <v>2.4720000000000004</v>
      </c>
      <c r="R19" s="13">
        <f t="shared" si="16"/>
        <v>6.2937000000000003</v>
      </c>
      <c r="S19" s="13">
        <f t="shared" si="17"/>
        <v>5.0985000000000005</v>
      </c>
    </row>
    <row r="20" spans="1:19" x14ac:dyDescent="0.45">
      <c r="A20" s="10">
        <v>5</v>
      </c>
      <c r="B20" s="12">
        <f t="shared" si="0"/>
        <v>2</v>
      </c>
      <c r="C20" s="12">
        <f t="shared" si="1"/>
        <v>0</v>
      </c>
      <c r="D20" s="13">
        <f t="shared" si="2"/>
        <v>1.8225000000000002</v>
      </c>
      <c r="E20" s="13">
        <f t="shared" si="3"/>
        <v>1.5625</v>
      </c>
      <c r="F20" s="12">
        <f t="shared" si="4"/>
        <v>1</v>
      </c>
      <c r="G20" s="12">
        <f t="shared" si="5"/>
        <v>5</v>
      </c>
      <c r="H20" s="12">
        <f t="shared" si="6"/>
        <v>3</v>
      </c>
      <c r="I20" s="12">
        <f t="shared" si="7"/>
        <v>1</v>
      </c>
      <c r="J20" s="12">
        <f t="shared" si="8"/>
        <v>9</v>
      </c>
      <c r="K20" s="12">
        <f t="shared" si="9"/>
        <v>9</v>
      </c>
      <c r="L20" s="12">
        <f t="shared" si="10"/>
        <v>10</v>
      </c>
      <c r="M20" s="12">
        <f t="shared" si="11"/>
        <v>11</v>
      </c>
      <c r="N20" s="13">
        <f t="shared" si="12"/>
        <v>2.6973000000000003</v>
      </c>
      <c r="O20" s="13">
        <f t="shared" si="13"/>
        <v>2.0625</v>
      </c>
      <c r="P20" s="13">
        <f t="shared" si="14"/>
        <v>4.209975</v>
      </c>
      <c r="Q20" s="13">
        <f t="shared" si="15"/>
        <v>3.1875</v>
      </c>
      <c r="R20" s="13">
        <f t="shared" si="16"/>
        <v>8.7480000000000011</v>
      </c>
      <c r="S20" s="13">
        <f t="shared" si="17"/>
        <v>6.5625</v>
      </c>
    </row>
    <row r="21" spans="1:19" x14ac:dyDescent="0.45">
      <c r="A21" s="10">
        <v>6</v>
      </c>
      <c r="B21" s="12">
        <f t="shared" si="0"/>
        <v>2</v>
      </c>
      <c r="C21" s="12">
        <f t="shared" si="1"/>
        <v>1</v>
      </c>
      <c r="D21" s="13">
        <f t="shared" si="2"/>
        <v>1.9136250000000004</v>
      </c>
      <c r="E21" s="13">
        <f t="shared" si="3"/>
        <v>1.609375</v>
      </c>
      <c r="F21" s="12">
        <f t="shared" si="4"/>
        <v>2</v>
      </c>
      <c r="G21" s="12">
        <f t="shared" si="5"/>
        <v>6</v>
      </c>
      <c r="H21" s="12">
        <f t="shared" si="6"/>
        <v>3</v>
      </c>
      <c r="I21" s="12">
        <f t="shared" si="7"/>
        <v>2</v>
      </c>
      <c r="J21" s="12">
        <f t="shared" si="8"/>
        <v>11</v>
      </c>
      <c r="K21" s="12">
        <f t="shared" si="9"/>
        <v>11</v>
      </c>
      <c r="L21" s="12">
        <f t="shared" si="10"/>
        <v>12</v>
      </c>
      <c r="M21" s="12">
        <f t="shared" si="11"/>
        <v>13</v>
      </c>
      <c r="N21" s="13">
        <f t="shared" si="12"/>
        <v>3.0618000000000007</v>
      </c>
      <c r="O21" s="13">
        <f t="shared" si="13"/>
        <v>2.2531249999999998</v>
      </c>
      <c r="P21" s="13">
        <f t="shared" si="14"/>
        <v>4.7649262500000003</v>
      </c>
      <c r="Q21" s="13">
        <f t="shared" si="15"/>
        <v>3.4762499999999998</v>
      </c>
      <c r="R21" s="13">
        <f t="shared" si="16"/>
        <v>9.8743050000000032</v>
      </c>
      <c r="S21" s="13">
        <f t="shared" si="17"/>
        <v>7.1456249999999999</v>
      </c>
    </row>
    <row r="22" spans="1:19" x14ac:dyDescent="0.45">
      <c r="A22" s="10">
        <v>7</v>
      </c>
      <c r="B22" s="12">
        <f t="shared" si="0"/>
        <v>3</v>
      </c>
      <c r="C22" s="12">
        <f t="shared" si="1"/>
        <v>0</v>
      </c>
      <c r="D22" s="13">
        <f t="shared" si="2"/>
        <v>2.4603750000000004</v>
      </c>
      <c r="E22" s="13">
        <f t="shared" si="3"/>
        <v>1.953125</v>
      </c>
      <c r="F22" s="12">
        <f t="shared" si="4"/>
        <v>2</v>
      </c>
      <c r="G22" s="12">
        <f t="shared" si="5"/>
        <v>7</v>
      </c>
      <c r="H22" s="12">
        <f t="shared" si="6"/>
        <v>4</v>
      </c>
      <c r="I22" s="12">
        <f t="shared" si="7"/>
        <v>2</v>
      </c>
      <c r="J22" s="12">
        <f t="shared" si="8"/>
        <v>13</v>
      </c>
      <c r="K22" s="12">
        <f t="shared" si="9"/>
        <v>13</v>
      </c>
      <c r="L22" s="12">
        <f t="shared" si="10"/>
        <v>14</v>
      </c>
      <c r="M22" s="12">
        <f t="shared" si="11"/>
        <v>15</v>
      </c>
      <c r="N22" s="13">
        <f t="shared" si="12"/>
        <v>4.2318450000000007</v>
      </c>
      <c r="O22" s="13">
        <f t="shared" si="13"/>
        <v>2.890625</v>
      </c>
      <c r="P22" s="13">
        <f t="shared" si="14"/>
        <v>6.5692012500000008</v>
      </c>
      <c r="Q22" s="13">
        <f t="shared" si="15"/>
        <v>4.453125</v>
      </c>
      <c r="R22" s="13">
        <f t="shared" si="16"/>
        <v>13.58127</v>
      </c>
      <c r="S22" s="13">
        <f t="shared" si="17"/>
        <v>9.140625</v>
      </c>
    </row>
    <row r="23" spans="1:19" x14ac:dyDescent="0.45">
      <c r="A23" s="10">
        <v>8</v>
      </c>
      <c r="B23" s="12">
        <f t="shared" si="0"/>
        <v>3</v>
      </c>
      <c r="C23" s="12">
        <f t="shared" si="1"/>
        <v>1</v>
      </c>
      <c r="D23" s="13">
        <f t="shared" si="2"/>
        <v>2.5833937500000004</v>
      </c>
      <c r="E23" s="13">
        <f t="shared" si="3"/>
        <v>2.01171875</v>
      </c>
      <c r="F23" s="12">
        <f t="shared" si="4"/>
        <v>2</v>
      </c>
      <c r="G23" s="12">
        <f t="shared" si="5"/>
        <v>8</v>
      </c>
      <c r="H23" s="12">
        <f t="shared" si="6"/>
        <v>4</v>
      </c>
      <c r="I23" s="12">
        <f t="shared" si="7"/>
        <v>2</v>
      </c>
      <c r="J23" s="12">
        <f t="shared" si="8"/>
        <v>15</v>
      </c>
      <c r="K23" s="12">
        <f t="shared" si="9"/>
        <v>15</v>
      </c>
      <c r="L23" s="12">
        <f t="shared" si="10"/>
        <v>16</v>
      </c>
      <c r="M23" s="12">
        <f t="shared" si="11"/>
        <v>17</v>
      </c>
      <c r="N23" s="13">
        <f t="shared" si="12"/>
        <v>4.7534445000000005</v>
      </c>
      <c r="O23" s="13">
        <f t="shared" si="13"/>
        <v>3.1382812499999999</v>
      </c>
      <c r="P23" s="13">
        <f t="shared" si="14"/>
        <v>7.3626721875000012</v>
      </c>
      <c r="Q23" s="13">
        <f t="shared" si="15"/>
        <v>4.828125</v>
      </c>
      <c r="R23" s="13">
        <f t="shared" si="16"/>
        <v>15.190355250000001</v>
      </c>
      <c r="S23" s="13">
        <f t="shared" si="17"/>
        <v>9.8976562500000007</v>
      </c>
    </row>
    <row r="24" spans="1:19" x14ac:dyDescent="0.45">
      <c r="A24" s="10">
        <v>9</v>
      </c>
      <c r="B24" s="12">
        <f t="shared" si="0"/>
        <v>4</v>
      </c>
      <c r="C24" s="12">
        <f t="shared" si="1"/>
        <v>0</v>
      </c>
      <c r="D24" s="13">
        <f t="shared" si="2"/>
        <v>3.321506250000001</v>
      </c>
      <c r="E24" s="13">
        <f t="shared" si="3"/>
        <v>2.44140625</v>
      </c>
      <c r="F24" s="12">
        <f t="shared" si="4"/>
        <v>2</v>
      </c>
      <c r="G24" s="12">
        <f t="shared" si="5"/>
        <v>9</v>
      </c>
      <c r="H24" s="12">
        <f t="shared" si="6"/>
        <v>5</v>
      </c>
      <c r="I24" s="12">
        <f t="shared" si="7"/>
        <v>2</v>
      </c>
      <c r="J24" s="12">
        <f t="shared" si="8"/>
        <v>17</v>
      </c>
      <c r="K24" s="12">
        <f t="shared" si="9"/>
        <v>17</v>
      </c>
      <c r="L24" s="12">
        <f t="shared" si="10"/>
        <v>18</v>
      </c>
      <c r="M24" s="12">
        <f t="shared" si="11"/>
        <v>19</v>
      </c>
      <c r="N24" s="13">
        <f t="shared" si="12"/>
        <v>6.5101522500000018</v>
      </c>
      <c r="O24" s="13">
        <f t="shared" si="13"/>
        <v>4.00390625</v>
      </c>
      <c r="P24" s="13">
        <f t="shared" si="14"/>
        <v>10.064163937500004</v>
      </c>
      <c r="Q24" s="13">
        <f t="shared" si="15"/>
        <v>6.15234375</v>
      </c>
      <c r="R24" s="13">
        <f t="shared" si="16"/>
        <v>20.726199000000008</v>
      </c>
      <c r="S24" s="13">
        <f t="shared" si="17"/>
        <v>12.59765625</v>
      </c>
    </row>
    <row r="25" spans="1:19" x14ac:dyDescent="0.45">
      <c r="A25" s="10">
        <v>10</v>
      </c>
      <c r="B25" s="12">
        <f t="shared" si="0"/>
        <v>4</v>
      </c>
      <c r="C25" s="12">
        <f t="shared" si="1"/>
        <v>1</v>
      </c>
      <c r="D25" s="13">
        <f t="shared" si="2"/>
        <v>3.4875815625000013</v>
      </c>
      <c r="E25" s="13">
        <f t="shared" si="3"/>
        <v>2.5146484375</v>
      </c>
      <c r="F25" s="12">
        <f t="shared" si="4"/>
        <v>2</v>
      </c>
      <c r="G25" s="12">
        <f t="shared" si="5"/>
        <v>10</v>
      </c>
      <c r="H25" s="12">
        <f t="shared" si="6"/>
        <v>5</v>
      </c>
      <c r="I25" s="12">
        <f t="shared" si="7"/>
        <v>2</v>
      </c>
      <c r="J25" s="12">
        <f t="shared" si="8"/>
        <v>19</v>
      </c>
      <c r="K25" s="12">
        <f t="shared" si="9"/>
        <v>19</v>
      </c>
      <c r="L25" s="12">
        <f t="shared" si="10"/>
        <v>20</v>
      </c>
      <c r="M25" s="12">
        <f t="shared" si="11"/>
        <v>21</v>
      </c>
      <c r="N25" s="13">
        <f t="shared" si="12"/>
        <v>7.2541696500000032</v>
      </c>
      <c r="O25" s="13">
        <f t="shared" si="13"/>
        <v>4.3251953125</v>
      </c>
      <c r="P25" s="13">
        <f t="shared" si="14"/>
        <v>11.195136815625002</v>
      </c>
      <c r="Q25" s="13">
        <f t="shared" si="15"/>
        <v>6.638671875</v>
      </c>
      <c r="R25" s="13">
        <f t="shared" si="16"/>
        <v>23.018038312500011</v>
      </c>
      <c r="S25" s="13">
        <f t="shared" si="17"/>
        <v>13.5791015625</v>
      </c>
    </row>
    <row r="26" spans="1:19" x14ac:dyDescent="0.45">
      <c r="A26" s="10">
        <v>11</v>
      </c>
      <c r="B26" s="12">
        <f t="shared" si="0"/>
        <v>5</v>
      </c>
      <c r="C26" s="12">
        <f t="shared" si="1"/>
        <v>0</v>
      </c>
      <c r="D26" s="13">
        <f t="shared" si="2"/>
        <v>4.4840334375000017</v>
      </c>
      <c r="E26" s="13">
        <f t="shared" si="3"/>
        <v>3.0517578125</v>
      </c>
      <c r="F26" s="12">
        <f t="shared" si="4"/>
        <v>3</v>
      </c>
      <c r="G26" s="12">
        <f t="shared" si="5"/>
        <v>11</v>
      </c>
      <c r="H26" s="12">
        <f t="shared" si="6"/>
        <v>6</v>
      </c>
      <c r="I26" s="12">
        <f t="shared" si="7"/>
        <v>3</v>
      </c>
      <c r="J26" s="12">
        <f t="shared" si="8"/>
        <v>21</v>
      </c>
      <c r="K26" s="12">
        <f t="shared" si="9"/>
        <v>21</v>
      </c>
      <c r="L26" s="12">
        <f t="shared" si="10"/>
        <v>22</v>
      </c>
      <c r="M26" s="12">
        <f t="shared" si="11"/>
        <v>23</v>
      </c>
      <c r="N26" s="13">
        <f t="shared" si="12"/>
        <v>9.864873562500005</v>
      </c>
      <c r="O26" s="13">
        <f t="shared" si="13"/>
        <v>5.4931640625</v>
      </c>
      <c r="P26" s="13">
        <f t="shared" si="14"/>
        <v>15.200873353125004</v>
      </c>
      <c r="Q26" s="13">
        <f t="shared" si="15"/>
        <v>8.4228515625</v>
      </c>
      <c r="R26" s="13">
        <f t="shared" si="16"/>
        <v>31.208872725000013</v>
      </c>
      <c r="S26" s="13">
        <f t="shared" si="17"/>
        <v>17.2119140625</v>
      </c>
    </row>
    <row r="27" spans="1:19" x14ac:dyDescent="0.45">
      <c r="A27" s="10">
        <v>12</v>
      </c>
      <c r="B27" s="12">
        <f t="shared" si="0"/>
        <v>5</v>
      </c>
      <c r="C27" s="12">
        <f t="shared" si="1"/>
        <v>1</v>
      </c>
      <c r="D27" s="13">
        <f t="shared" si="2"/>
        <v>4.7082351093750017</v>
      </c>
      <c r="E27" s="13">
        <f t="shared" si="3"/>
        <v>3.143310546875</v>
      </c>
      <c r="F27" s="12">
        <f t="shared" si="4"/>
        <v>3</v>
      </c>
      <c r="G27" s="12">
        <f t="shared" si="5"/>
        <v>12</v>
      </c>
      <c r="H27" s="12">
        <f t="shared" si="6"/>
        <v>6</v>
      </c>
      <c r="I27" s="12">
        <f t="shared" si="7"/>
        <v>3</v>
      </c>
      <c r="J27" s="12">
        <f t="shared" si="8"/>
        <v>23</v>
      </c>
      <c r="K27" s="12">
        <f t="shared" si="9"/>
        <v>23</v>
      </c>
      <c r="L27" s="12">
        <f t="shared" si="10"/>
        <v>24</v>
      </c>
      <c r="M27" s="12">
        <f t="shared" si="11"/>
        <v>25</v>
      </c>
      <c r="N27" s="13">
        <f t="shared" si="12"/>
        <v>10.923105453750003</v>
      </c>
      <c r="O27" s="13">
        <f t="shared" si="13"/>
        <v>5.909423828125</v>
      </c>
      <c r="P27" s="13">
        <f t="shared" si="14"/>
        <v>16.808399340468753</v>
      </c>
      <c r="Q27" s="13">
        <f t="shared" si="15"/>
        <v>9.052734375</v>
      </c>
      <c r="R27" s="13">
        <f t="shared" si="16"/>
        <v>34.464281000625014</v>
      </c>
      <c r="S27" s="13">
        <f t="shared" si="17"/>
        <v>18.482666015625</v>
      </c>
    </row>
    <row r="28" spans="1:19" x14ac:dyDescent="0.45">
      <c r="A28" s="10">
        <v>13</v>
      </c>
      <c r="B28" s="12">
        <f t="shared" si="0"/>
        <v>6</v>
      </c>
      <c r="C28" s="12">
        <f t="shared" si="1"/>
        <v>0</v>
      </c>
      <c r="D28" s="13">
        <f t="shared" si="2"/>
        <v>6.0534451406250023</v>
      </c>
      <c r="E28" s="13">
        <f t="shared" si="3"/>
        <v>3.814697265625</v>
      </c>
      <c r="F28" s="12">
        <f t="shared" si="4"/>
        <v>3</v>
      </c>
      <c r="G28" s="12">
        <f t="shared" si="5"/>
        <v>13</v>
      </c>
      <c r="H28" s="12">
        <f t="shared" si="6"/>
        <v>7</v>
      </c>
      <c r="I28" s="12">
        <f t="shared" si="7"/>
        <v>3</v>
      </c>
      <c r="J28" s="12">
        <f t="shared" si="8"/>
        <v>25</v>
      </c>
      <c r="K28" s="12">
        <f t="shared" si="9"/>
        <v>25</v>
      </c>
      <c r="L28" s="12">
        <f t="shared" si="10"/>
        <v>26</v>
      </c>
      <c r="M28" s="12">
        <f t="shared" si="11"/>
        <v>27</v>
      </c>
      <c r="N28" s="13">
        <f t="shared" si="12"/>
        <v>14.770406143125005</v>
      </c>
      <c r="O28" s="13">
        <f t="shared" si="13"/>
        <v>7.476806640625</v>
      </c>
      <c r="P28" s="13">
        <f t="shared" si="14"/>
        <v>22.700419277343759</v>
      </c>
      <c r="Q28" s="13">
        <f t="shared" si="15"/>
        <v>11.444091796875</v>
      </c>
      <c r="R28" s="13">
        <f t="shared" si="16"/>
        <v>46.490458680000017</v>
      </c>
      <c r="S28" s="13">
        <f t="shared" si="17"/>
        <v>23.345947265625</v>
      </c>
    </row>
    <row r="29" spans="1:19" x14ac:dyDescent="0.45">
      <c r="A29" s="10">
        <v>14</v>
      </c>
      <c r="B29" s="12">
        <f t="shared" si="0"/>
        <v>6</v>
      </c>
      <c r="C29" s="12">
        <f t="shared" si="1"/>
        <v>1</v>
      </c>
      <c r="D29" s="13">
        <f t="shared" si="2"/>
        <v>6.3561173976562531</v>
      </c>
      <c r="E29" s="13">
        <f t="shared" si="3"/>
        <v>3.92913818359375</v>
      </c>
      <c r="F29" s="12">
        <f t="shared" si="4"/>
        <v>3</v>
      </c>
      <c r="G29" s="12">
        <f t="shared" si="5"/>
        <v>14</v>
      </c>
      <c r="H29" s="12">
        <f t="shared" si="6"/>
        <v>7</v>
      </c>
      <c r="I29" s="12">
        <f t="shared" si="7"/>
        <v>3</v>
      </c>
      <c r="J29" s="12">
        <f t="shared" si="8"/>
        <v>27</v>
      </c>
      <c r="K29" s="12">
        <f t="shared" si="9"/>
        <v>27</v>
      </c>
      <c r="L29" s="12">
        <f t="shared" si="10"/>
        <v>28</v>
      </c>
      <c r="M29" s="12">
        <f t="shared" si="11"/>
        <v>29</v>
      </c>
      <c r="N29" s="13">
        <f t="shared" si="12"/>
        <v>16.27166053800001</v>
      </c>
      <c r="O29" s="13">
        <f t="shared" si="13"/>
        <v>8.01544189453125</v>
      </c>
      <c r="P29" s="13">
        <f t="shared" si="14"/>
        <v>24.979541372789075</v>
      </c>
      <c r="Q29" s="13">
        <f t="shared" si="15"/>
        <v>12.2589111328125</v>
      </c>
      <c r="R29" s="13">
        <f t="shared" si="16"/>
        <v>51.103183877156269</v>
      </c>
      <c r="S29" s="13">
        <f t="shared" si="17"/>
        <v>24.98931884765625</v>
      </c>
    </row>
    <row r="30" spans="1:19" x14ac:dyDescent="0.45">
      <c r="A30" s="10">
        <v>15</v>
      </c>
      <c r="B30" s="12">
        <f t="shared" si="0"/>
        <v>7</v>
      </c>
      <c r="C30" s="12">
        <f t="shared" si="1"/>
        <v>0</v>
      </c>
      <c r="D30" s="13">
        <f t="shared" si="2"/>
        <v>8.1721509398437533</v>
      </c>
      <c r="E30" s="13">
        <f t="shared" si="3"/>
        <v>4.76837158203125</v>
      </c>
      <c r="F30" s="12">
        <f t="shared" si="4"/>
        <v>3</v>
      </c>
      <c r="G30" s="12">
        <f t="shared" si="5"/>
        <v>15</v>
      </c>
      <c r="H30" s="12">
        <f t="shared" si="6"/>
        <v>8</v>
      </c>
      <c r="I30" s="12">
        <f t="shared" si="7"/>
        <v>3</v>
      </c>
      <c r="J30" s="12">
        <f t="shared" si="8"/>
        <v>29</v>
      </c>
      <c r="K30" s="12">
        <f t="shared" si="9"/>
        <v>29</v>
      </c>
      <c r="L30" s="12">
        <f t="shared" si="10"/>
        <v>30</v>
      </c>
      <c r="M30" s="12">
        <f t="shared" si="11"/>
        <v>31</v>
      </c>
      <c r="N30" s="13">
        <f t="shared" si="12"/>
        <v>21.901364518781257</v>
      </c>
      <c r="O30" s="13">
        <f t="shared" si="13"/>
        <v>10.10894775390625</v>
      </c>
      <c r="P30" s="13">
        <f t="shared" si="14"/>
        <v>33.587540362757828</v>
      </c>
      <c r="Q30" s="13">
        <f t="shared" si="15"/>
        <v>15.44952392578125</v>
      </c>
      <c r="R30" s="13">
        <f t="shared" si="16"/>
        <v>68.646067894687519</v>
      </c>
      <c r="S30" s="13">
        <f t="shared" si="17"/>
        <v>31.47125244140625</v>
      </c>
    </row>
    <row r="31" spans="1:19" x14ac:dyDescent="0.45">
      <c r="A31" s="10">
        <v>16</v>
      </c>
      <c r="B31" s="12">
        <f t="shared" si="0"/>
        <v>7</v>
      </c>
      <c r="C31" s="12">
        <f t="shared" si="1"/>
        <v>1</v>
      </c>
      <c r="D31" s="13">
        <f t="shared" si="2"/>
        <v>8.5807584868359417</v>
      </c>
      <c r="E31" s="13">
        <f t="shared" si="3"/>
        <v>4.9114227294921875</v>
      </c>
      <c r="F31" s="12">
        <f t="shared" si="4"/>
        <v>3</v>
      </c>
      <c r="G31" s="12">
        <f t="shared" si="5"/>
        <v>16</v>
      </c>
      <c r="H31" s="12">
        <f t="shared" si="6"/>
        <v>8</v>
      </c>
      <c r="I31" s="12">
        <f t="shared" si="7"/>
        <v>4</v>
      </c>
      <c r="J31" s="12">
        <f t="shared" si="8"/>
        <v>31</v>
      </c>
      <c r="K31" s="12">
        <f t="shared" si="9"/>
        <v>31</v>
      </c>
      <c r="L31" s="12">
        <f t="shared" si="10"/>
        <v>32</v>
      </c>
      <c r="M31" s="12">
        <f t="shared" si="11"/>
        <v>33</v>
      </c>
      <c r="N31" s="13">
        <f t="shared" si="12"/>
        <v>24.026123763140635</v>
      </c>
      <c r="O31" s="13">
        <f t="shared" si="13"/>
        <v>10.805130004882813</v>
      </c>
      <c r="P31" s="13">
        <f t="shared" si="14"/>
        <v>36.81145390852619</v>
      </c>
      <c r="Q31" s="13">
        <f t="shared" si="15"/>
        <v>16.502380371093754</v>
      </c>
      <c r="R31" s="13">
        <f t="shared" si="16"/>
        <v>75.167444344682849</v>
      </c>
      <c r="S31" s="13">
        <f t="shared" si="17"/>
        <v>33.59413146972657</v>
      </c>
    </row>
    <row r="32" spans="1:19" x14ac:dyDescent="0.45">
      <c r="A32" s="10">
        <v>17</v>
      </c>
      <c r="B32" s="12">
        <f t="shared" si="0"/>
        <v>8</v>
      </c>
      <c r="C32" s="12">
        <f t="shared" si="1"/>
        <v>0</v>
      </c>
      <c r="D32" s="13">
        <f t="shared" si="2"/>
        <v>11.032403768789068</v>
      </c>
      <c r="E32" s="13">
        <f t="shared" si="3"/>
        <v>5.9604644775390625</v>
      </c>
      <c r="F32" s="12">
        <f t="shared" si="4"/>
        <v>3</v>
      </c>
      <c r="G32" s="12">
        <f t="shared" si="5"/>
        <v>17</v>
      </c>
      <c r="H32" s="12">
        <f t="shared" si="6"/>
        <v>9</v>
      </c>
      <c r="I32" s="12">
        <f t="shared" si="7"/>
        <v>4</v>
      </c>
      <c r="J32" s="12">
        <f t="shared" si="8"/>
        <v>33</v>
      </c>
      <c r="K32" s="12">
        <f t="shared" si="9"/>
        <v>33</v>
      </c>
      <c r="L32" s="12">
        <f t="shared" si="10"/>
        <v>34</v>
      </c>
      <c r="M32" s="12">
        <f t="shared" si="11"/>
        <v>35</v>
      </c>
      <c r="N32" s="13">
        <f t="shared" si="12"/>
        <v>32.214619004864076</v>
      </c>
      <c r="O32" s="13">
        <f t="shared" si="13"/>
        <v>13.589859008789064</v>
      </c>
      <c r="P32" s="13">
        <f t="shared" si="14"/>
        <v>49.314844846487134</v>
      </c>
      <c r="Q32" s="13">
        <f t="shared" si="15"/>
        <v>20.742416381835941</v>
      </c>
      <c r="R32" s="13">
        <f t="shared" si="16"/>
        <v>100.61552237135631</v>
      </c>
      <c r="S32" s="13">
        <f t="shared" si="17"/>
        <v>42.20008850097657</v>
      </c>
    </row>
    <row r="33" spans="1:19" x14ac:dyDescent="0.45">
      <c r="A33" s="10">
        <v>18</v>
      </c>
      <c r="B33" s="12">
        <f t="shared" si="0"/>
        <v>8</v>
      </c>
      <c r="C33" s="12">
        <f t="shared" si="1"/>
        <v>1</v>
      </c>
      <c r="D33" s="13">
        <f t="shared" si="2"/>
        <v>11.584023957228522</v>
      </c>
      <c r="E33" s="13">
        <f t="shared" si="3"/>
        <v>6.1392784118652344</v>
      </c>
      <c r="F33" s="12">
        <f t="shared" si="4"/>
        <v>3</v>
      </c>
      <c r="G33" s="12">
        <f t="shared" si="5"/>
        <v>18</v>
      </c>
      <c r="H33" s="12">
        <f t="shared" si="6"/>
        <v>9</v>
      </c>
      <c r="I33" s="12">
        <f t="shared" si="7"/>
        <v>4</v>
      </c>
      <c r="J33" s="12">
        <f t="shared" si="8"/>
        <v>35</v>
      </c>
      <c r="K33" s="12">
        <f t="shared" si="9"/>
        <v>35</v>
      </c>
      <c r="L33" s="12">
        <f t="shared" si="10"/>
        <v>36</v>
      </c>
      <c r="M33" s="12">
        <f t="shared" si="11"/>
        <v>37</v>
      </c>
      <c r="N33" s="13">
        <f t="shared" si="12"/>
        <v>35.215432829974709</v>
      </c>
      <c r="O33" s="13">
        <f t="shared" si="13"/>
        <v>14.488697052001955</v>
      </c>
      <c r="P33" s="13">
        <f t="shared" si="14"/>
        <v>53.865711401112627</v>
      </c>
      <c r="Q33" s="13">
        <f t="shared" si="15"/>
        <v>22.101402282714847</v>
      </c>
      <c r="R33" s="13">
        <f t="shared" si="16"/>
        <v>109.8165471145264</v>
      </c>
      <c r="S33" s="13">
        <f t="shared" si="17"/>
        <v>44.939517974853516</v>
      </c>
    </row>
    <row r="34" spans="1:19" x14ac:dyDescent="0.45">
      <c r="A34" s="10">
        <v>19</v>
      </c>
      <c r="B34" s="12">
        <f t="shared" si="0"/>
        <v>9</v>
      </c>
      <c r="C34" s="12">
        <f t="shared" si="1"/>
        <v>0</v>
      </c>
      <c r="D34" s="13">
        <f t="shared" si="2"/>
        <v>14.893745087865243</v>
      </c>
      <c r="E34" s="13">
        <f t="shared" si="3"/>
        <v>7.4505805969238281</v>
      </c>
      <c r="F34" s="12">
        <f t="shared" si="4"/>
        <v>3</v>
      </c>
      <c r="G34" s="12">
        <f t="shared" si="5"/>
        <v>19</v>
      </c>
      <c r="H34" s="12">
        <f t="shared" si="6"/>
        <v>10</v>
      </c>
      <c r="I34" s="12">
        <f t="shared" si="7"/>
        <v>4</v>
      </c>
      <c r="J34" s="12">
        <f t="shared" si="8"/>
        <v>37</v>
      </c>
      <c r="K34" s="12">
        <f t="shared" si="9"/>
        <v>37</v>
      </c>
      <c r="L34" s="12">
        <f t="shared" si="10"/>
        <v>38</v>
      </c>
      <c r="M34" s="12">
        <f t="shared" si="11"/>
        <v>39</v>
      </c>
      <c r="N34" s="13">
        <f t="shared" si="12"/>
        <v>47.064234477654168</v>
      </c>
      <c r="O34" s="13">
        <f t="shared" si="13"/>
        <v>18.179416656494141</v>
      </c>
      <c r="P34" s="13">
        <f t="shared" si="14"/>
        <v>71.936788774389115</v>
      </c>
      <c r="Q34" s="13">
        <f t="shared" si="15"/>
        <v>27.716159820556641</v>
      </c>
      <c r="R34" s="13">
        <f t="shared" si="16"/>
        <v>146.55445166459398</v>
      </c>
      <c r="S34" s="13">
        <f t="shared" si="17"/>
        <v>56.326389312744141</v>
      </c>
    </row>
    <row r="35" spans="1:19" x14ac:dyDescent="0.45">
      <c r="A35" s="10">
        <v>20</v>
      </c>
      <c r="B35" s="12">
        <f t="shared" si="0"/>
        <v>9</v>
      </c>
      <c r="C35" s="12">
        <f t="shared" si="1"/>
        <v>1</v>
      </c>
      <c r="D35" s="13">
        <f t="shared" si="2"/>
        <v>15.638432342258506</v>
      </c>
      <c r="E35" s="13">
        <f t="shared" si="3"/>
        <v>7.674098014831543</v>
      </c>
      <c r="F35" s="12">
        <f t="shared" si="4"/>
        <v>3</v>
      </c>
      <c r="G35" s="12">
        <f t="shared" si="5"/>
        <v>20</v>
      </c>
      <c r="H35" s="12">
        <f t="shared" si="6"/>
        <v>10</v>
      </c>
      <c r="I35" s="12">
        <f t="shared" si="7"/>
        <v>4</v>
      </c>
      <c r="J35" s="12">
        <f t="shared" si="8"/>
        <v>39</v>
      </c>
      <c r="K35" s="12">
        <f t="shared" si="9"/>
        <v>39</v>
      </c>
      <c r="L35" s="12">
        <f t="shared" si="10"/>
        <v>40</v>
      </c>
      <c r="M35" s="12">
        <f t="shared" si="11"/>
        <v>41</v>
      </c>
      <c r="N35" s="13">
        <f t="shared" si="12"/>
        <v>51.294058082607897</v>
      </c>
      <c r="O35" s="13">
        <f t="shared" si="13"/>
        <v>19.338726997375488</v>
      </c>
      <c r="P35" s="13">
        <f t="shared" si="14"/>
        <v>78.348546034715099</v>
      </c>
      <c r="Q35" s="13">
        <f t="shared" si="15"/>
        <v>29.468536376953125</v>
      </c>
      <c r="R35" s="13">
        <f t="shared" si="16"/>
        <v>159.51200989103677</v>
      </c>
      <c r="S35" s="13">
        <f t="shared" si="17"/>
        <v>59.857964515686035</v>
      </c>
    </row>
    <row r="36" spans="1:19" x14ac:dyDescent="0.45">
      <c r="A36" s="2" t="s">
        <v>78</v>
      </c>
    </row>
    <row r="38" spans="1:19" x14ac:dyDescent="0.45">
      <c r="A38" s="3" t="s">
        <v>79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5">
      <c r="A39" s="2" t="s">
        <v>80</v>
      </c>
    </row>
    <row r="40" spans="1:19" x14ac:dyDescent="0.45">
      <c r="A40" s="6" t="s">
        <v>59</v>
      </c>
      <c r="B40" s="6" t="s">
        <v>81</v>
      </c>
      <c r="C40" s="6" t="s">
        <v>82</v>
      </c>
      <c r="D40" s="6" t="s">
        <v>83</v>
      </c>
      <c r="E40" s="6" t="s">
        <v>84</v>
      </c>
      <c r="F40" s="6" t="s">
        <v>85</v>
      </c>
      <c r="G40" s="6" t="s">
        <v>86</v>
      </c>
    </row>
    <row r="41" spans="1:19" x14ac:dyDescent="0.45">
      <c r="A41" s="14">
        <f t="shared" ref="A41:A60" si="18">A16</f>
        <v>1</v>
      </c>
      <c r="B41" s="14">
        <f t="shared" ref="B41:B60" si="19">J16</f>
        <v>1</v>
      </c>
      <c r="C41" s="13">
        <f t="shared" ref="C41:C60" si="20">145+(B41-1)*15+(A41-1)*20</f>
        <v>145</v>
      </c>
      <c r="D41" s="13">
        <f t="shared" ref="D41:D60" si="21">40+(B41-1)*10+(A41-1)*25</f>
        <v>40</v>
      </c>
      <c r="E41" s="13">
        <f t="shared" ref="E41:E60" si="22">D41+(A41-1)*10</f>
        <v>40</v>
      </c>
      <c r="F41" s="13">
        <f t="shared" ref="F41:F60" si="23">D41*1.5+(A41-1)*10</f>
        <v>60</v>
      </c>
      <c r="G41" s="13">
        <f t="shared" ref="G41:G60" si="24">D41*2+(A41-1)*10</f>
        <v>80</v>
      </c>
    </row>
    <row r="42" spans="1:19" x14ac:dyDescent="0.45">
      <c r="A42" s="14">
        <f t="shared" si="18"/>
        <v>2</v>
      </c>
      <c r="B42" s="14">
        <f t="shared" si="19"/>
        <v>3</v>
      </c>
      <c r="C42" s="13">
        <f t="shared" si="20"/>
        <v>195</v>
      </c>
      <c r="D42" s="13">
        <f t="shared" si="21"/>
        <v>85</v>
      </c>
      <c r="E42" s="13">
        <f t="shared" si="22"/>
        <v>95</v>
      </c>
      <c r="F42" s="13">
        <f t="shared" si="23"/>
        <v>137.5</v>
      </c>
      <c r="G42" s="13">
        <f t="shared" si="24"/>
        <v>180</v>
      </c>
    </row>
    <row r="43" spans="1:19" x14ac:dyDescent="0.45">
      <c r="A43" s="14">
        <f t="shared" si="18"/>
        <v>3</v>
      </c>
      <c r="B43" s="14">
        <f t="shared" si="19"/>
        <v>5</v>
      </c>
      <c r="C43" s="13">
        <f t="shared" si="20"/>
        <v>245</v>
      </c>
      <c r="D43" s="13">
        <f t="shared" si="21"/>
        <v>130</v>
      </c>
      <c r="E43" s="13">
        <f t="shared" si="22"/>
        <v>150</v>
      </c>
      <c r="F43" s="13">
        <f t="shared" si="23"/>
        <v>215</v>
      </c>
      <c r="G43" s="13">
        <f t="shared" si="24"/>
        <v>280</v>
      </c>
    </row>
    <row r="44" spans="1:19" x14ac:dyDescent="0.45">
      <c r="A44" s="14">
        <f t="shared" si="18"/>
        <v>4</v>
      </c>
      <c r="B44" s="14">
        <f t="shared" si="19"/>
        <v>7</v>
      </c>
      <c r="C44" s="13">
        <f t="shared" si="20"/>
        <v>295</v>
      </c>
      <c r="D44" s="13">
        <f t="shared" si="21"/>
        <v>175</v>
      </c>
      <c r="E44" s="13">
        <f t="shared" si="22"/>
        <v>205</v>
      </c>
      <c r="F44" s="13">
        <f t="shared" si="23"/>
        <v>292.5</v>
      </c>
      <c r="G44" s="13">
        <f t="shared" si="24"/>
        <v>380</v>
      </c>
    </row>
    <row r="45" spans="1:19" x14ac:dyDescent="0.45">
      <c r="A45" s="14">
        <f t="shared" si="18"/>
        <v>5</v>
      </c>
      <c r="B45" s="14">
        <f t="shared" si="19"/>
        <v>9</v>
      </c>
      <c r="C45" s="13">
        <f t="shared" si="20"/>
        <v>345</v>
      </c>
      <c r="D45" s="13">
        <f t="shared" si="21"/>
        <v>220</v>
      </c>
      <c r="E45" s="13">
        <f t="shared" si="22"/>
        <v>260</v>
      </c>
      <c r="F45" s="13">
        <f t="shared" si="23"/>
        <v>370</v>
      </c>
      <c r="G45" s="13">
        <f t="shared" si="24"/>
        <v>480</v>
      </c>
    </row>
    <row r="46" spans="1:19" x14ac:dyDescent="0.45">
      <c r="A46" s="14">
        <f t="shared" si="18"/>
        <v>6</v>
      </c>
      <c r="B46" s="14">
        <f t="shared" si="19"/>
        <v>11</v>
      </c>
      <c r="C46" s="13">
        <f t="shared" si="20"/>
        <v>395</v>
      </c>
      <c r="D46" s="13">
        <f t="shared" si="21"/>
        <v>265</v>
      </c>
      <c r="E46" s="13">
        <f t="shared" si="22"/>
        <v>315</v>
      </c>
      <c r="F46" s="13">
        <f t="shared" si="23"/>
        <v>447.5</v>
      </c>
      <c r="G46" s="13">
        <f t="shared" si="24"/>
        <v>580</v>
      </c>
    </row>
    <row r="47" spans="1:19" x14ac:dyDescent="0.45">
      <c r="A47" s="14">
        <f t="shared" si="18"/>
        <v>7</v>
      </c>
      <c r="B47" s="14">
        <f t="shared" si="19"/>
        <v>13</v>
      </c>
      <c r="C47" s="13">
        <f t="shared" si="20"/>
        <v>445</v>
      </c>
      <c r="D47" s="13">
        <f t="shared" si="21"/>
        <v>310</v>
      </c>
      <c r="E47" s="13">
        <f t="shared" si="22"/>
        <v>370</v>
      </c>
      <c r="F47" s="13">
        <f t="shared" si="23"/>
        <v>525</v>
      </c>
      <c r="G47" s="13">
        <f t="shared" si="24"/>
        <v>680</v>
      </c>
    </row>
    <row r="48" spans="1:19" x14ac:dyDescent="0.45">
      <c r="A48" s="14">
        <f t="shared" si="18"/>
        <v>8</v>
      </c>
      <c r="B48" s="14">
        <f t="shared" si="19"/>
        <v>15</v>
      </c>
      <c r="C48" s="13">
        <f t="shared" si="20"/>
        <v>495</v>
      </c>
      <c r="D48" s="13">
        <f t="shared" si="21"/>
        <v>355</v>
      </c>
      <c r="E48" s="13">
        <f t="shared" si="22"/>
        <v>425</v>
      </c>
      <c r="F48" s="13">
        <f t="shared" si="23"/>
        <v>602.5</v>
      </c>
      <c r="G48" s="13">
        <f t="shared" si="24"/>
        <v>780</v>
      </c>
    </row>
    <row r="49" spans="1:7" x14ac:dyDescent="0.45">
      <c r="A49" s="14">
        <f t="shared" si="18"/>
        <v>9</v>
      </c>
      <c r="B49" s="14">
        <f t="shared" si="19"/>
        <v>17</v>
      </c>
      <c r="C49" s="13">
        <f t="shared" si="20"/>
        <v>545</v>
      </c>
      <c r="D49" s="13">
        <f t="shared" si="21"/>
        <v>400</v>
      </c>
      <c r="E49" s="13">
        <f t="shared" si="22"/>
        <v>480</v>
      </c>
      <c r="F49" s="13">
        <f t="shared" si="23"/>
        <v>680</v>
      </c>
      <c r="G49" s="13">
        <f t="shared" si="24"/>
        <v>880</v>
      </c>
    </row>
    <row r="50" spans="1:7" x14ac:dyDescent="0.45">
      <c r="A50" s="14">
        <f t="shared" si="18"/>
        <v>10</v>
      </c>
      <c r="B50" s="14">
        <f t="shared" si="19"/>
        <v>19</v>
      </c>
      <c r="C50" s="13">
        <f t="shared" si="20"/>
        <v>595</v>
      </c>
      <c r="D50" s="13">
        <f t="shared" si="21"/>
        <v>445</v>
      </c>
      <c r="E50" s="13">
        <f t="shared" si="22"/>
        <v>535</v>
      </c>
      <c r="F50" s="13">
        <f t="shared" si="23"/>
        <v>757.5</v>
      </c>
      <c r="G50" s="13">
        <f t="shared" si="24"/>
        <v>980</v>
      </c>
    </row>
    <row r="51" spans="1:7" x14ac:dyDescent="0.45">
      <c r="A51" s="14">
        <f t="shared" si="18"/>
        <v>11</v>
      </c>
      <c r="B51" s="14">
        <f t="shared" si="19"/>
        <v>21</v>
      </c>
      <c r="C51" s="13">
        <f t="shared" si="20"/>
        <v>645</v>
      </c>
      <c r="D51" s="13">
        <f t="shared" si="21"/>
        <v>490</v>
      </c>
      <c r="E51" s="13">
        <f t="shared" si="22"/>
        <v>590</v>
      </c>
      <c r="F51" s="13">
        <f t="shared" si="23"/>
        <v>835</v>
      </c>
      <c r="G51" s="13">
        <f t="shared" si="24"/>
        <v>1080</v>
      </c>
    </row>
    <row r="52" spans="1:7" x14ac:dyDescent="0.45">
      <c r="A52" s="14">
        <f t="shared" si="18"/>
        <v>12</v>
      </c>
      <c r="B52" s="14">
        <f t="shared" si="19"/>
        <v>23</v>
      </c>
      <c r="C52" s="13">
        <f t="shared" si="20"/>
        <v>695</v>
      </c>
      <c r="D52" s="13">
        <f t="shared" si="21"/>
        <v>535</v>
      </c>
      <c r="E52" s="13">
        <f t="shared" si="22"/>
        <v>645</v>
      </c>
      <c r="F52" s="13">
        <f t="shared" si="23"/>
        <v>912.5</v>
      </c>
      <c r="G52" s="13">
        <f t="shared" si="24"/>
        <v>1180</v>
      </c>
    </row>
    <row r="53" spans="1:7" x14ac:dyDescent="0.45">
      <c r="A53" s="14">
        <f t="shared" si="18"/>
        <v>13</v>
      </c>
      <c r="B53" s="14">
        <f t="shared" si="19"/>
        <v>25</v>
      </c>
      <c r="C53" s="13">
        <f t="shared" si="20"/>
        <v>745</v>
      </c>
      <c r="D53" s="13">
        <f t="shared" si="21"/>
        <v>580</v>
      </c>
      <c r="E53" s="13">
        <f t="shared" si="22"/>
        <v>700</v>
      </c>
      <c r="F53" s="13">
        <f t="shared" si="23"/>
        <v>990</v>
      </c>
      <c r="G53" s="13">
        <f t="shared" si="24"/>
        <v>1280</v>
      </c>
    </row>
    <row r="54" spans="1:7" x14ac:dyDescent="0.45">
      <c r="A54" s="14">
        <f t="shared" si="18"/>
        <v>14</v>
      </c>
      <c r="B54" s="14">
        <f t="shared" si="19"/>
        <v>27</v>
      </c>
      <c r="C54" s="13">
        <f t="shared" si="20"/>
        <v>795</v>
      </c>
      <c r="D54" s="13">
        <f t="shared" si="21"/>
        <v>625</v>
      </c>
      <c r="E54" s="13">
        <f t="shared" si="22"/>
        <v>755</v>
      </c>
      <c r="F54" s="13">
        <f t="shared" si="23"/>
        <v>1067.5</v>
      </c>
      <c r="G54" s="13">
        <f t="shared" si="24"/>
        <v>1380</v>
      </c>
    </row>
    <row r="55" spans="1:7" x14ac:dyDescent="0.45">
      <c r="A55" s="14">
        <f t="shared" si="18"/>
        <v>15</v>
      </c>
      <c r="B55" s="14">
        <f t="shared" si="19"/>
        <v>29</v>
      </c>
      <c r="C55" s="13">
        <f t="shared" si="20"/>
        <v>845</v>
      </c>
      <c r="D55" s="13">
        <f t="shared" si="21"/>
        <v>670</v>
      </c>
      <c r="E55" s="13">
        <f t="shared" si="22"/>
        <v>810</v>
      </c>
      <c r="F55" s="13">
        <f t="shared" si="23"/>
        <v>1145</v>
      </c>
      <c r="G55" s="13">
        <f t="shared" si="24"/>
        <v>1480</v>
      </c>
    </row>
    <row r="56" spans="1:7" x14ac:dyDescent="0.45">
      <c r="A56" s="14">
        <f t="shared" si="18"/>
        <v>16</v>
      </c>
      <c r="B56" s="14">
        <f t="shared" si="19"/>
        <v>31</v>
      </c>
      <c r="C56" s="13">
        <f t="shared" si="20"/>
        <v>895</v>
      </c>
      <c r="D56" s="13">
        <f t="shared" si="21"/>
        <v>715</v>
      </c>
      <c r="E56" s="13">
        <f t="shared" si="22"/>
        <v>865</v>
      </c>
      <c r="F56" s="13">
        <f t="shared" si="23"/>
        <v>1222.5</v>
      </c>
      <c r="G56" s="13">
        <f t="shared" si="24"/>
        <v>1580</v>
      </c>
    </row>
    <row r="57" spans="1:7" x14ac:dyDescent="0.45">
      <c r="A57" s="14">
        <f t="shared" si="18"/>
        <v>17</v>
      </c>
      <c r="B57" s="14">
        <f t="shared" si="19"/>
        <v>33</v>
      </c>
      <c r="C57" s="13">
        <f t="shared" si="20"/>
        <v>945</v>
      </c>
      <c r="D57" s="13">
        <f t="shared" si="21"/>
        <v>760</v>
      </c>
      <c r="E57" s="13">
        <f t="shared" si="22"/>
        <v>920</v>
      </c>
      <c r="F57" s="13">
        <f t="shared" si="23"/>
        <v>1300</v>
      </c>
      <c r="G57" s="13">
        <f t="shared" si="24"/>
        <v>1680</v>
      </c>
    </row>
    <row r="58" spans="1:7" x14ac:dyDescent="0.45">
      <c r="A58" s="14">
        <f t="shared" si="18"/>
        <v>18</v>
      </c>
      <c r="B58" s="14">
        <f t="shared" si="19"/>
        <v>35</v>
      </c>
      <c r="C58" s="13">
        <f t="shared" si="20"/>
        <v>995</v>
      </c>
      <c r="D58" s="13">
        <f t="shared" si="21"/>
        <v>805</v>
      </c>
      <c r="E58" s="13">
        <f t="shared" si="22"/>
        <v>975</v>
      </c>
      <c r="F58" s="13">
        <f t="shared" si="23"/>
        <v>1377.5</v>
      </c>
      <c r="G58" s="13">
        <f t="shared" si="24"/>
        <v>1780</v>
      </c>
    </row>
    <row r="59" spans="1:7" x14ac:dyDescent="0.45">
      <c r="A59" s="14">
        <f t="shared" si="18"/>
        <v>19</v>
      </c>
      <c r="B59" s="14">
        <f t="shared" si="19"/>
        <v>37</v>
      </c>
      <c r="C59" s="13">
        <f t="shared" si="20"/>
        <v>1045</v>
      </c>
      <c r="D59" s="13">
        <f t="shared" si="21"/>
        <v>850</v>
      </c>
      <c r="E59" s="13">
        <f t="shared" si="22"/>
        <v>1030</v>
      </c>
      <c r="F59" s="13">
        <f t="shared" si="23"/>
        <v>1455</v>
      </c>
      <c r="G59" s="13">
        <f t="shared" si="24"/>
        <v>1880</v>
      </c>
    </row>
    <row r="60" spans="1:7" x14ac:dyDescent="0.45">
      <c r="A60" s="14">
        <f t="shared" si="18"/>
        <v>20</v>
      </c>
      <c r="B60" s="14">
        <f t="shared" si="19"/>
        <v>39</v>
      </c>
      <c r="C60" s="13">
        <f t="shared" si="20"/>
        <v>1095</v>
      </c>
      <c r="D60" s="13">
        <f t="shared" si="21"/>
        <v>895</v>
      </c>
      <c r="E60" s="13">
        <f t="shared" si="22"/>
        <v>1085</v>
      </c>
      <c r="F60" s="13">
        <f t="shared" si="23"/>
        <v>1532.5</v>
      </c>
      <c r="G60" s="13">
        <f t="shared" si="24"/>
        <v>1980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3"/>
  <sheetViews>
    <sheetView showGridLines="0" workbookViewId="0"/>
  </sheetViews>
  <sheetFormatPr baseColWidth="10" defaultColWidth="9.06640625" defaultRowHeight="14.25" x14ac:dyDescent="0.45"/>
  <cols>
    <col min="1" max="1" width="8" customWidth="1"/>
    <col min="2" max="3" width="10" customWidth="1"/>
    <col min="4" max="5" width="9" customWidth="1"/>
    <col min="6" max="18" width="10" customWidth="1"/>
  </cols>
  <sheetData>
    <row r="1" spans="1:21" ht="17.649999999999999" x14ac:dyDescent="0.5">
      <c r="A1" s="1" t="s">
        <v>18</v>
      </c>
    </row>
    <row r="2" spans="1:21" x14ac:dyDescent="0.45">
      <c r="A2" s="2" t="s">
        <v>87</v>
      </c>
    </row>
    <row r="4" spans="1:21" x14ac:dyDescent="0.45">
      <c r="A4" s="5" t="s">
        <v>88</v>
      </c>
      <c r="B4" s="11">
        <v>1</v>
      </c>
    </row>
    <row r="5" spans="1:21" x14ac:dyDescent="0.45">
      <c r="A5" s="2" t="s">
        <v>89</v>
      </c>
    </row>
    <row r="6" spans="1:21" x14ac:dyDescent="0.45">
      <c r="A6" s="6" t="s">
        <v>90</v>
      </c>
      <c r="B6" s="6" t="s">
        <v>91</v>
      </c>
      <c r="C6" s="6" t="s">
        <v>92</v>
      </c>
      <c r="D6" s="6" t="s">
        <v>93</v>
      </c>
      <c r="E6" s="6" t="s">
        <v>94</v>
      </c>
      <c r="F6" s="6" t="s">
        <v>95</v>
      </c>
      <c r="G6" s="6" t="s">
        <v>96</v>
      </c>
    </row>
    <row r="7" spans="1:21" x14ac:dyDescent="0.45">
      <c r="A7" s="8" t="s">
        <v>97</v>
      </c>
      <c r="B7" s="10">
        <v>28</v>
      </c>
      <c r="C7" s="10">
        <v>5</v>
      </c>
      <c r="D7" s="10">
        <v>1</v>
      </c>
      <c r="E7" s="10">
        <v>10</v>
      </c>
      <c r="F7" s="10">
        <v>35</v>
      </c>
      <c r="G7" s="10">
        <v>12</v>
      </c>
    </row>
    <row r="8" spans="1:21" x14ac:dyDescent="0.45">
      <c r="A8" s="8" t="s">
        <v>98</v>
      </c>
      <c r="B8" s="10">
        <v>50</v>
      </c>
      <c r="C8" s="10">
        <v>8</v>
      </c>
      <c r="D8" s="10">
        <v>3</v>
      </c>
      <c r="E8" s="10">
        <v>15</v>
      </c>
      <c r="F8" s="10">
        <v>100</v>
      </c>
      <c r="G8" s="10">
        <v>25</v>
      </c>
    </row>
    <row r="9" spans="1:21" x14ac:dyDescent="0.45">
      <c r="A9" s="8" t="s">
        <v>99</v>
      </c>
      <c r="B9" s="10">
        <v>18</v>
      </c>
      <c r="C9" s="10">
        <v>4</v>
      </c>
      <c r="D9" s="10">
        <v>1</v>
      </c>
      <c r="E9" s="10">
        <v>5</v>
      </c>
      <c r="F9" s="10">
        <v>25</v>
      </c>
      <c r="G9" s="10">
        <v>10</v>
      </c>
    </row>
    <row r="10" spans="1:21" x14ac:dyDescent="0.45">
      <c r="A10" s="8" t="s">
        <v>100</v>
      </c>
      <c r="B10" s="10">
        <v>22</v>
      </c>
      <c r="C10" s="10">
        <v>8</v>
      </c>
      <c r="D10" s="10">
        <v>2</v>
      </c>
      <c r="E10" s="10">
        <v>10</v>
      </c>
      <c r="F10" s="10">
        <v>50</v>
      </c>
      <c r="G10" s="10">
        <v>15</v>
      </c>
    </row>
    <row r="12" spans="1:21" x14ac:dyDescent="0.45">
      <c r="A12" s="6" t="s">
        <v>59</v>
      </c>
      <c r="B12" s="6" t="s">
        <v>101</v>
      </c>
      <c r="C12" s="6" t="s">
        <v>102</v>
      </c>
      <c r="D12" s="6" t="s">
        <v>103</v>
      </c>
      <c r="E12" s="6" t="s">
        <v>104</v>
      </c>
      <c r="F12" s="6" t="s">
        <v>105</v>
      </c>
      <c r="G12" s="6" t="s">
        <v>106</v>
      </c>
      <c r="H12" s="6" t="s">
        <v>107</v>
      </c>
      <c r="I12" s="6" t="s">
        <v>108</v>
      </c>
      <c r="J12" s="6" t="s">
        <v>109</v>
      </c>
      <c r="K12" s="6" t="s">
        <v>106</v>
      </c>
      <c r="L12" s="6" t="s">
        <v>107</v>
      </c>
      <c r="M12" s="6" t="s">
        <v>108</v>
      </c>
      <c r="N12" s="6" t="s">
        <v>110</v>
      </c>
      <c r="O12" s="6" t="s">
        <v>106</v>
      </c>
      <c r="P12" s="6" t="s">
        <v>107</v>
      </c>
      <c r="Q12" s="6" t="s">
        <v>108</v>
      </c>
      <c r="R12" s="6" t="s">
        <v>111</v>
      </c>
      <c r="S12" s="6" t="s">
        <v>106</v>
      </c>
      <c r="T12" s="6" t="s">
        <v>107</v>
      </c>
      <c r="U12" s="6" t="s">
        <v>108</v>
      </c>
    </row>
    <row r="13" spans="1:21" x14ac:dyDescent="0.45">
      <c r="A13" s="10">
        <v>1</v>
      </c>
      <c r="B13" s="14">
        <f>IF($B$4=3,'Difficulté par acte'!M16,IF($B$4=2,'Difficulté par acte'!L16,'Difficulté par acte'!K16))</f>
        <v>1</v>
      </c>
      <c r="C13" s="15">
        <f>IF($B$4=3,'Difficulté par acte'!R16,IF($B$4=2,'Difficulté par acte'!P16,'Difficulté par acte'!N16))</f>
        <v>1</v>
      </c>
      <c r="D13" s="15">
        <f>IF($B$4=3,'Difficulté par acte'!S16,IF($B$4=2,'Difficulté par acte'!Q16,'Difficulté par acte'!O16))</f>
        <v>1</v>
      </c>
      <c r="E13" s="13">
        <f>(40+('Difficulté par acte'!J16-1)*10+(A13-1)*25)*IF($B$4=3,2,IF($B$4=2,1.5,1))+(A13-1)*10</f>
        <v>40</v>
      </c>
      <c r="F13" s="12">
        <f t="shared" ref="F13:F32" si="0">ROUND($B$7*C13,0)</f>
        <v>28</v>
      </c>
      <c r="G13" s="12">
        <f t="shared" ref="G13:G32" si="1">ROUND($C$7*D13,0)</f>
        <v>5</v>
      </c>
      <c r="H13" s="13">
        <f t="shared" ref="H13:H32" si="2">$D$7*15+F13/4+G13*2*(1+$E$7/100)</f>
        <v>33</v>
      </c>
      <c r="I13" s="8" t="str">
        <f t="shared" ref="I13:I32" si="3">IF(AND($D$7&lt;=MIN(3,1+INT((A13-1)/5)),H13&lt;=E13),"oui","non")</f>
        <v>oui</v>
      </c>
      <c r="J13" s="12">
        <f t="shared" ref="J13:J32" si="4">ROUND($B$8*C13,0)</f>
        <v>50</v>
      </c>
      <c r="K13" s="12">
        <f t="shared" ref="K13:K32" si="5">ROUND($C$8*D13,0)</f>
        <v>8</v>
      </c>
      <c r="L13" s="13">
        <f t="shared" ref="L13:L32" si="6">$D$8*15+J13/4+K13*2*(1+$E$8/100)</f>
        <v>75.900000000000006</v>
      </c>
      <c r="M13" s="8" t="str">
        <f t="shared" ref="M13:M32" si="7">IF(AND($D$8&lt;=MIN(3,1+INT((A13-1)/5)),L13&lt;=E13),"oui","non")</f>
        <v>non</v>
      </c>
      <c r="N13" s="12">
        <f t="shared" ref="N13:N32" si="8">ROUND($B$9*C13,0)</f>
        <v>18</v>
      </c>
      <c r="O13" s="12">
        <f t="shared" ref="O13:O32" si="9">ROUND($C$9*D13,0)</f>
        <v>4</v>
      </c>
      <c r="P13" s="13">
        <f t="shared" ref="P13:P32" si="10">$D$9*15+N13/4+O13*2*(1+$E$9/100)</f>
        <v>27.9</v>
      </c>
      <c r="Q13" s="8" t="str">
        <f t="shared" ref="Q13:Q32" si="11">IF(AND($D$9&lt;=MIN(3,1+INT((A13-1)/5)),P13&lt;=E13),"oui","non")</f>
        <v>oui</v>
      </c>
      <c r="R13" s="12">
        <f t="shared" ref="R13:R32" si="12">ROUND($B$10*C13,0)</f>
        <v>22</v>
      </c>
      <c r="S13" s="12">
        <f t="shared" ref="S13:S32" si="13">ROUND($C$10*D13,0)</f>
        <v>8</v>
      </c>
      <c r="T13" s="13">
        <f t="shared" ref="T13:T32" si="14">$D$10*15+R13/4+S13*2*(1+$E$10/100)</f>
        <v>53.1</v>
      </c>
      <c r="U13" s="8" t="str">
        <f t="shared" ref="U13:U32" si="15">IF(AND($D$10&lt;=MIN(3,1+INT((A13-1)/5)),T13&lt;=E13),"oui","non")</f>
        <v>non</v>
      </c>
    </row>
    <row r="14" spans="1:21" x14ac:dyDescent="0.45">
      <c r="A14" s="10">
        <v>2</v>
      </c>
      <c r="B14" s="14">
        <f>IF($B$4=3,'Difficulté par acte'!M17,IF($B$4=2,'Difficulté par acte'!L17,'Difficulté par acte'!K17))</f>
        <v>3</v>
      </c>
      <c r="C14" s="15">
        <f>IF($B$4=3,'Difficulté par acte'!R17,IF($B$4=2,'Difficulté par acte'!P17,'Difficulté par acte'!N17))</f>
        <v>1.1760000000000002</v>
      </c>
      <c r="D14" s="15">
        <f>IF($B$4=3,'Difficulté par acte'!S17,IF($B$4=2,'Difficulté par acte'!Q17,'Difficulté par acte'!O17))</f>
        <v>1.1124000000000001</v>
      </c>
      <c r="E14" s="13">
        <f>(40+('Difficulté par acte'!J17-1)*10+(A14-1)*25)*IF($B$4=3,2,IF($B$4=2,1.5,1))+(A14-1)*10</f>
        <v>95</v>
      </c>
      <c r="F14" s="12">
        <f t="shared" si="0"/>
        <v>33</v>
      </c>
      <c r="G14" s="12">
        <f t="shared" si="1"/>
        <v>6</v>
      </c>
      <c r="H14" s="13">
        <f t="shared" si="2"/>
        <v>36.450000000000003</v>
      </c>
      <c r="I14" s="8" t="str">
        <f t="shared" si="3"/>
        <v>oui</v>
      </c>
      <c r="J14" s="12">
        <f t="shared" si="4"/>
        <v>59</v>
      </c>
      <c r="K14" s="12">
        <f t="shared" si="5"/>
        <v>9</v>
      </c>
      <c r="L14" s="13">
        <f t="shared" si="6"/>
        <v>80.45</v>
      </c>
      <c r="M14" s="8" t="str">
        <f t="shared" si="7"/>
        <v>non</v>
      </c>
      <c r="N14" s="12">
        <f t="shared" si="8"/>
        <v>21</v>
      </c>
      <c r="O14" s="12">
        <f t="shared" si="9"/>
        <v>4</v>
      </c>
      <c r="P14" s="13">
        <f t="shared" si="10"/>
        <v>28.65</v>
      </c>
      <c r="Q14" s="8" t="str">
        <f t="shared" si="11"/>
        <v>oui</v>
      </c>
      <c r="R14" s="12">
        <f t="shared" si="12"/>
        <v>26</v>
      </c>
      <c r="S14" s="12">
        <f t="shared" si="13"/>
        <v>9</v>
      </c>
      <c r="T14" s="13">
        <f t="shared" si="14"/>
        <v>56.3</v>
      </c>
      <c r="U14" s="8" t="str">
        <f t="shared" si="15"/>
        <v>non</v>
      </c>
    </row>
    <row r="15" spans="1:21" x14ac:dyDescent="0.45">
      <c r="A15" s="10">
        <v>3</v>
      </c>
      <c r="B15" s="14">
        <f>IF($B$4=3,'Difficulté par acte'!M18,IF($B$4=2,'Difficulté par acte'!L18,'Difficulté par acte'!K18))</f>
        <v>5</v>
      </c>
      <c r="C15" s="15">
        <f>IF($B$4=3,'Difficulté par acte'!R18,IF($B$4=2,'Difficulté par acte'!P18,'Difficulté par acte'!N18))</f>
        <v>1.6740000000000002</v>
      </c>
      <c r="D15" s="15">
        <f>IF($B$4=3,'Difficulté par acte'!S18,IF($B$4=2,'Difficulté par acte'!Q18,'Difficulté par acte'!O18))</f>
        <v>1.45</v>
      </c>
      <c r="E15" s="13">
        <f>(40+('Difficulté par acte'!J18-1)*10+(A15-1)*25)*IF($B$4=3,2,IF($B$4=2,1.5,1))+(A15-1)*10</f>
        <v>150</v>
      </c>
      <c r="F15" s="12">
        <f t="shared" si="0"/>
        <v>47</v>
      </c>
      <c r="G15" s="12">
        <f t="shared" si="1"/>
        <v>7</v>
      </c>
      <c r="H15" s="13">
        <f t="shared" si="2"/>
        <v>42.150000000000006</v>
      </c>
      <c r="I15" s="8" t="str">
        <f t="shared" si="3"/>
        <v>oui</v>
      </c>
      <c r="J15" s="12">
        <f t="shared" si="4"/>
        <v>84</v>
      </c>
      <c r="K15" s="12">
        <f t="shared" si="5"/>
        <v>12</v>
      </c>
      <c r="L15" s="13">
        <f t="shared" si="6"/>
        <v>93.6</v>
      </c>
      <c r="M15" s="8" t="str">
        <f t="shared" si="7"/>
        <v>non</v>
      </c>
      <c r="N15" s="12">
        <f t="shared" si="8"/>
        <v>30</v>
      </c>
      <c r="O15" s="12">
        <f t="shared" si="9"/>
        <v>6</v>
      </c>
      <c r="P15" s="13">
        <f t="shared" si="10"/>
        <v>35.1</v>
      </c>
      <c r="Q15" s="8" t="str">
        <f t="shared" si="11"/>
        <v>oui</v>
      </c>
      <c r="R15" s="12">
        <f t="shared" si="12"/>
        <v>37</v>
      </c>
      <c r="S15" s="12">
        <f t="shared" si="13"/>
        <v>12</v>
      </c>
      <c r="T15" s="13">
        <f t="shared" si="14"/>
        <v>65.650000000000006</v>
      </c>
      <c r="U15" s="8" t="str">
        <f t="shared" si="15"/>
        <v>non</v>
      </c>
    </row>
    <row r="16" spans="1:21" x14ac:dyDescent="0.45">
      <c r="A16" s="10">
        <v>4</v>
      </c>
      <c r="B16" s="14">
        <f>IF($B$4=3,'Difficulté par acte'!M19,IF($B$4=2,'Difficulté par acte'!L19,'Difficulté par acte'!K19))</f>
        <v>7</v>
      </c>
      <c r="C16" s="15">
        <f>IF($B$4=3,'Difficulté par acte'!R19,IF($B$4=2,'Difficulté par acte'!P19,'Difficulté par acte'!N19))</f>
        <v>1.9278000000000002</v>
      </c>
      <c r="D16" s="15">
        <f>IF($B$4=3,'Difficulté par acte'!S19,IF($B$4=2,'Difficulté par acte'!Q19,'Difficulté par acte'!O19))</f>
        <v>1.5965</v>
      </c>
      <c r="E16" s="13">
        <f>(40+('Difficulté par acte'!J19-1)*10+(A16-1)*25)*IF($B$4=3,2,IF($B$4=2,1.5,1))+(A16-1)*10</f>
        <v>205</v>
      </c>
      <c r="F16" s="12">
        <f t="shared" si="0"/>
        <v>54</v>
      </c>
      <c r="G16" s="12">
        <f t="shared" si="1"/>
        <v>8</v>
      </c>
      <c r="H16" s="13">
        <f t="shared" si="2"/>
        <v>46.1</v>
      </c>
      <c r="I16" s="8" t="str">
        <f t="shared" si="3"/>
        <v>oui</v>
      </c>
      <c r="J16" s="12">
        <f t="shared" si="4"/>
        <v>96</v>
      </c>
      <c r="K16" s="12">
        <f t="shared" si="5"/>
        <v>13</v>
      </c>
      <c r="L16" s="13">
        <f t="shared" si="6"/>
        <v>98.9</v>
      </c>
      <c r="M16" s="8" t="str">
        <f t="shared" si="7"/>
        <v>non</v>
      </c>
      <c r="N16" s="12">
        <f t="shared" si="8"/>
        <v>35</v>
      </c>
      <c r="O16" s="12">
        <f t="shared" si="9"/>
        <v>6</v>
      </c>
      <c r="P16" s="13">
        <f t="shared" si="10"/>
        <v>36.35</v>
      </c>
      <c r="Q16" s="8" t="str">
        <f t="shared" si="11"/>
        <v>oui</v>
      </c>
      <c r="R16" s="12">
        <f t="shared" si="12"/>
        <v>42</v>
      </c>
      <c r="S16" s="12">
        <f t="shared" si="13"/>
        <v>13</v>
      </c>
      <c r="T16" s="13">
        <f t="shared" si="14"/>
        <v>69.099999999999994</v>
      </c>
      <c r="U16" s="8" t="str">
        <f t="shared" si="15"/>
        <v>non</v>
      </c>
    </row>
    <row r="17" spans="1:21" x14ac:dyDescent="0.45">
      <c r="A17" s="10">
        <v>5</v>
      </c>
      <c r="B17" s="14">
        <f>IF($B$4=3,'Difficulté par acte'!M20,IF($B$4=2,'Difficulté par acte'!L20,'Difficulté par acte'!K20))</f>
        <v>9</v>
      </c>
      <c r="C17" s="15">
        <f>IF($B$4=3,'Difficulté par acte'!R20,IF($B$4=2,'Difficulté par acte'!P20,'Difficulté par acte'!N20))</f>
        <v>2.6973000000000003</v>
      </c>
      <c r="D17" s="15">
        <f>IF($B$4=3,'Difficulté par acte'!S20,IF($B$4=2,'Difficulté par acte'!Q20,'Difficulté par acte'!O20))</f>
        <v>2.0625</v>
      </c>
      <c r="E17" s="13">
        <f>(40+('Difficulté par acte'!J20-1)*10+(A17-1)*25)*IF($B$4=3,2,IF($B$4=2,1.5,1))+(A17-1)*10</f>
        <v>260</v>
      </c>
      <c r="F17" s="12">
        <f t="shared" si="0"/>
        <v>76</v>
      </c>
      <c r="G17" s="12">
        <f t="shared" si="1"/>
        <v>10</v>
      </c>
      <c r="H17" s="13">
        <f t="shared" si="2"/>
        <v>56</v>
      </c>
      <c r="I17" s="8" t="str">
        <f t="shared" si="3"/>
        <v>oui</v>
      </c>
      <c r="J17" s="12">
        <f t="shared" si="4"/>
        <v>135</v>
      </c>
      <c r="K17" s="12">
        <f t="shared" si="5"/>
        <v>17</v>
      </c>
      <c r="L17" s="13">
        <f t="shared" si="6"/>
        <v>117.85</v>
      </c>
      <c r="M17" s="8" t="str">
        <f t="shared" si="7"/>
        <v>non</v>
      </c>
      <c r="N17" s="12">
        <f t="shared" si="8"/>
        <v>49</v>
      </c>
      <c r="O17" s="12">
        <f t="shared" si="9"/>
        <v>8</v>
      </c>
      <c r="P17" s="13">
        <f t="shared" si="10"/>
        <v>44.05</v>
      </c>
      <c r="Q17" s="8" t="str">
        <f t="shared" si="11"/>
        <v>oui</v>
      </c>
      <c r="R17" s="12">
        <f t="shared" si="12"/>
        <v>59</v>
      </c>
      <c r="S17" s="12">
        <f t="shared" si="13"/>
        <v>17</v>
      </c>
      <c r="T17" s="13">
        <f t="shared" si="14"/>
        <v>82.15</v>
      </c>
      <c r="U17" s="8" t="str">
        <f t="shared" si="15"/>
        <v>non</v>
      </c>
    </row>
    <row r="18" spans="1:21" x14ac:dyDescent="0.45">
      <c r="A18" s="10">
        <v>6</v>
      </c>
      <c r="B18" s="14">
        <f>IF($B$4=3,'Difficulté par acte'!M21,IF($B$4=2,'Difficulté par acte'!L21,'Difficulté par acte'!K21))</f>
        <v>11</v>
      </c>
      <c r="C18" s="15">
        <f>IF($B$4=3,'Difficulté par acte'!R21,IF($B$4=2,'Difficulté par acte'!P21,'Difficulté par acte'!N21))</f>
        <v>3.0618000000000007</v>
      </c>
      <c r="D18" s="15">
        <f>IF($B$4=3,'Difficulté par acte'!S21,IF($B$4=2,'Difficulté par acte'!Q21,'Difficulté par acte'!O21))</f>
        <v>2.2531249999999998</v>
      </c>
      <c r="E18" s="13">
        <f>(40+('Difficulté par acte'!J21-1)*10+(A18-1)*25)*IF($B$4=3,2,IF($B$4=2,1.5,1))+(A18-1)*10</f>
        <v>315</v>
      </c>
      <c r="F18" s="12">
        <f t="shared" si="0"/>
        <v>86</v>
      </c>
      <c r="G18" s="12">
        <f t="shared" si="1"/>
        <v>11</v>
      </c>
      <c r="H18" s="13">
        <f t="shared" si="2"/>
        <v>60.7</v>
      </c>
      <c r="I18" s="8" t="str">
        <f t="shared" si="3"/>
        <v>oui</v>
      </c>
      <c r="J18" s="12">
        <f t="shared" si="4"/>
        <v>153</v>
      </c>
      <c r="K18" s="12">
        <f t="shared" si="5"/>
        <v>18</v>
      </c>
      <c r="L18" s="13">
        <f t="shared" si="6"/>
        <v>124.65</v>
      </c>
      <c r="M18" s="8" t="str">
        <f t="shared" si="7"/>
        <v>non</v>
      </c>
      <c r="N18" s="12">
        <f t="shared" si="8"/>
        <v>55</v>
      </c>
      <c r="O18" s="12">
        <f t="shared" si="9"/>
        <v>9</v>
      </c>
      <c r="P18" s="13">
        <f t="shared" si="10"/>
        <v>47.650000000000006</v>
      </c>
      <c r="Q18" s="8" t="str">
        <f t="shared" si="11"/>
        <v>oui</v>
      </c>
      <c r="R18" s="12">
        <f t="shared" si="12"/>
        <v>67</v>
      </c>
      <c r="S18" s="12">
        <f t="shared" si="13"/>
        <v>18</v>
      </c>
      <c r="T18" s="13">
        <f t="shared" si="14"/>
        <v>86.35</v>
      </c>
      <c r="U18" s="8" t="str">
        <f t="shared" si="15"/>
        <v>oui</v>
      </c>
    </row>
    <row r="19" spans="1:21" x14ac:dyDescent="0.45">
      <c r="A19" s="10">
        <v>7</v>
      </c>
      <c r="B19" s="14">
        <f>IF($B$4=3,'Difficulté par acte'!M22,IF($B$4=2,'Difficulté par acte'!L22,'Difficulté par acte'!K22))</f>
        <v>13</v>
      </c>
      <c r="C19" s="15">
        <f>IF($B$4=3,'Difficulté par acte'!R22,IF($B$4=2,'Difficulté par acte'!P22,'Difficulté par acte'!N22))</f>
        <v>4.2318450000000007</v>
      </c>
      <c r="D19" s="15">
        <f>IF($B$4=3,'Difficulté par acte'!S22,IF($B$4=2,'Difficulté par acte'!Q22,'Difficulté par acte'!O22))</f>
        <v>2.890625</v>
      </c>
      <c r="E19" s="13">
        <f>(40+('Difficulté par acte'!J22-1)*10+(A19-1)*25)*IF($B$4=3,2,IF($B$4=2,1.5,1))+(A19-1)*10</f>
        <v>370</v>
      </c>
      <c r="F19" s="12">
        <f t="shared" si="0"/>
        <v>118</v>
      </c>
      <c r="G19" s="12">
        <f t="shared" si="1"/>
        <v>14</v>
      </c>
      <c r="H19" s="13">
        <f t="shared" si="2"/>
        <v>75.300000000000011</v>
      </c>
      <c r="I19" s="8" t="str">
        <f t="shared" si="3"/>
        <v>oui</v>
      </c>
      <c r="J19" s="12">
        <f t="shared" si="4"/>
        <v>212</v>
      </c>
      <c r="K19" s="12">
        <f t="shared" si="5"/>
        <v>23</v>
      </c>
      <c r="L19" s="13">
        <f t="shared" si="6"/>
        <v>150.9</v>
      </c>
      <c r="M19" s="8" t="str">
        <f t="shared" si="7"/>
        <v>non</v>
      </c>
      <c r="N19" s="12">
        <f t="shared" si="8"/>
        <v>76</v>
      </c>
      <c r="O19" s="12">
        <f t="shared" si="9"/>
        <v>12</v>
      </c>
      <c r="P19" s="13">
        <f t="shared" si="10"/>
        <v>59.2</v>
      </c>
      <c r="Q19" s="8" t="str">
        <f t="shared" si="11"/>
        <v>oui</v>
      </c>
      <c r="R19" s="12">
        <f t="shared" si="12"/>
        <v>93</v>
      </c>
      <c r="S19" s="12">
        <f t="shared" si="13"/>
        <v>23</v>
      </c>
      <c r="T19" s="13">
        <f t="shared" si="14"/>
        <v>103.85</v>
      </c>
      <c r="U19" s="8" t="str">
        <f t="shared" si="15"/>
        <v>oui</v>
      </c>
    </row>
    <row r="20" spans="1:21" x14ac:dyDescent="0.45">
      <c r="A20" s="10">
        <v>8</v>
      </c>
      <c r="B20" s="14">
        <f>IF($B$4=3,'Difficulté par acte'!M23,IF($B$4=2,'Difficulté par acte'!L23,'Difficulté par acte'!K23))</f>
        <v>15</v>
      </c>
      <c r="C20" s="15">
        <f>IF($B$4=3,'Difficulté par acte'!R23,IF($B$4=2,'Difficulté par acte'!P23,'Difficulté par acte'!N23))</f>
        <v>4.7534445000000005</v>
      </c>
      <c r="D20" s="15">
        <f>IF($B$4=3,'Difficulté par acte'!S23,IF($B$4=2,'Difficulté par acte'!Q23,'Difficulté par acte'!O23))</f>
        <v>3.1382812499999999</v>
      </c>
      <c r="E20" s="13">
        <f>(40+('Difficulté par acte'!J23-1)*10+(A20-1)*25)*IF($B$4=3,2,IF($B$4=2,1.5,1))+(A20-1)*10</f>
        <v>425</v>
      </c>
      <c r="F20" s="12">
        <f t="shared" si="0"/>
        <v>133</v>
      </c>
      <c r="G20" s="12">
        <f t="shared" si="1"/>
        <v>16</v>
      </c>
      <c r="H20" s="13">
        <f t="shared" si="2"/>
        <v>83.45</v>
      </c>
      <c r="I20" s="8" t="str">
        <f t="shared" si="3"/>
        <v>oui</v>
      </c>
      <c r="J20" s="12">
        <f t="shared" si="4"/>
        <v>238</v>
      </c>
      <c r="K20" s="12">
        <f t="shared" si="5"/>
        <v>25</v>
      </c>
      <c r="L20" s="13">
        <f t="shared" si="6"/>
        <v>162</v>
      </c>
      <c r="M20" s="8" t="str">
        <f t="shared" si="7"/>
        <v>non</v>
      </c>
      <c r="N20" s="12">
        <f t="shared" si="8"/>
        <v>86</v>
      </c>
      <c r="O20" s="12">
        <f t="shared" si="9"/>
        <v>13</v>
      </c>
      <c r="P20" s="13">
        <f t="shared" si="10"/>
        <v>63.8</v>
      </c>
      <c r="Q20" s="8" t="str">
        <f t="shared" si="11"/>
        <v>oui</v>
      </c>
      <c r="R20" s="12">
        <f t="shared" si="12"/>
        <v>105</v>
      </c>
      <c r="S20" s="12">
        <f t="shared" si="13"/>
        <v>25</v>
      </c>
      <c r="T20" s="13">
        <f t="shared" si="14"/>
        <v>111.25</v>
      </c>
      <c r="U20" s="8" t="str">
        <f t="shared" si="15"/>
        <v>oui</v>
      </c>
    </row>
    <row r="21" spans="1:21" x14ac:dyDescent="0.45">
      <c r="A21" s="10">
        <v>9</v>
      </c>
      <c r="B21" s="14">
        <f>IF($B$4=3,'Difficulté par acte'!M24,IF($B$4=2,'Difficulté par acte'!L24,'Difficulté par acte'!K24))</f>
        <v>17</v>
      </c>
      <c r="C21" s="15">
        <f>IF($B$4=3,'Difficulté par acte'!R24,IF($B$4=2,'Difficulté par acte'!P24,'Difficulté par acte'!N24))</f>
        <v>6.5101522500000018</v>
      </c>
      <c r="D21" s="15">
        <f>IF($B$4=3,'Difficulté par acte'!S24,IF($B$4=2,'Difficulté par acte'!Q24,'Difficulté par acte'!O24))</f>
        <v>4.00390625</v>
      </c>
      <c r="E21" s="13">
        <f>(40+('Difficulté par acte'!J24-1)*10+(A21-1)*25)*IF($B$4=3,2,IF($B$4=2,1.5,1))+(A21-1)*10</f>
        <v>480</v>
      </c>
      <c r="F21" s="12">
        <f t="shared" si="0"/>
        <v>182</v>
      </c>
      <c r="G21" s="12">
        <f t="shared" si="1"/>
        <v>20</v>
      </c>
      <c r="H21" s="13">
        <f t="shared" si="2"/>
        <v>104.5</v>
      </c>
      <c r="I21" s="8" t="str">
        <f t="shared" si="3"/>
        <v>oui</v>
      </c>
      <c r="J21" s="12">
        <f t="shared" si="4"/>
        <v>326</v>
      </c>
      <c r="K21" s="12">
        <f t="shared" si="5"/>
        <v>32</v>
      </c>
      <c r="L21" s="13">
        <f t="shared" si="6"/>
        <v>200.1</v>
      </c>
      <c r="M21" s="8" t="str">
        <f t="shared" si="7"/>
        <v>non</v>
      </c>
      <c r="N21" s="12">
        <f t="shared" si="8"/>
        <v>117</v>
      </c>
      <c r="O21" s="12">
        <f t="shared" si="9"/>
        <v>16</v>
      </c>
      <c r="P21" s="13">
        <f t="shared" si="10"/>
        <v>77.849999999999994</v>
      </c>
      <c r="Q21" s="8" t="str">
        <f t="shared" si="11"/>
        <v>oui</v>
      </c>
      <c r="R21" s="12">
        <f t="shared" si="12"/>
        <v>143</v>
      </c>
      <c r="S21" s="12">
        <f t="shared" si="13"/>
        <v>32</v>
      </c>
      <c r="T21" s="13">
        <f t="shared" si="14"/>
        <v>136.15</v>
      </c>
      <c r="U21" s="8" t="str">
        <f t="shared" si="15"/>
        <v>oui</v>
      </c>
    </row>
    <row r="22" spans="1:21" x14ac:dyDescent="0.45">
      <c r="A22" s="10">
        <v>10</v>
      </c>
      <c r="B22" s="14">
        <f>IF($B$4=3,'Difficulté par acte'!M25,IF($B$4=2,'Difficulté par acte'!L25,'Difficulté par acte'!K25))</f>
        <v>19</v>
      </c>
      <c r="C22" s="15">
        <f>IF($B$4=3,'Difficulté par acte'!R25,IF($B$4=2,'Difficulté par acte'!P25,'Difficulté par acte'!N25))</f>
        <v>7.2541696500000032</v>
      </c>
      <c r="D22" s="15">
        <f>IF($B$4=3,'Difficulté par acte'!S25,IF($B$4=2,'Difficulté par acte'!Q25,'Difficulté par acte'!O25))</f>
        <v>4.3251953125</v>
      </c>
      <c r="E22" s="13">
        <f>(40+('Difficulté par acte'!J25-1)*10+(A22-1)*25)*IF($B$4=3,2,IF($B$4=2,1.5,1))+(A22-1)*10</f>
        <v>535</v>
      </c>
      <c r="F22" s="12">
        <f t="shared" si="0"/>
        <v>203</v>
      </c>
      <c r="G22" s="12">
        <f t="shared" si="1"/>
        <v>22</v>
      </c>
      <c r="H22" s="13">
        <f t="shared" si="2"/>
        <v>114.15</v>
      </c>
      <c r="I22" s="8" t="str">
        <f t="shared" si="3"/>
        <v>oui</v>
      </c>
      <c r="J22" s="12">
        <f t="shared" si="4"/>
        <v>363</v>
      </c>
      <c r="K22" s="12">
        <f t="shared" si="5"/>
        <v>35</v>
      </c>
      <c r="L22" s="13">
        <f t="shared" si="6"/>
        <v>216.25</v>
      </c>
      <c r="M22" s="8" t="str">
        <f t="shared" si="7"/>
        <v>non</v>
      </c>
      <c r="N22" s="12">
        <f t="shared" si="8"/>
        <v>131</v>
      </c>
      <c r="O22" s="12">
        <f t="shared" si="9"/>
        <v>17</v>
      </c>
      <c r="P22" s="13">
        <f t="shared" si="10"/>
        <v>83.45</v>
      </c>
      <c r="Q22" s="8" t="str">
        <f t="shared" si="11"/>
        <v>oui</v>
      </c>
      <c r="R22" s="12">
        <f t="shared" si="12"/>
        <v>160</v>
      </c>
      <c r="S22" s="12">
        <f t="shared" si="13"/>
        <v>35</v>
      </c>
      <c r="T22" s="13">
        <f t="shared" si="14"/>
        <v>147</v>
      </c>
      <c r="U22" s="8" t="str">
        <f t="shared" si="15"/>
        <v>oui</v>
      </c>
    </row>
    <row r="23" spans="1:21" x14ac:dyDescent="0.45">
      <c r="A23" s="10">
        <v>11</v>
      </c>
      <c r="B23" s="14">
        <f>IF($B$4=3,'Difficulté par acte'!M26,IF($B$4=2,'Difficulté par acte'!L26,'Difficulté par acte'!K26))</f>
        <v>21</v>
      </c>
      <c r="C23" s="15">
        <f>IF($B$4=3,'Difficulté par acte'!R26,IF($B$4=2,'Difficulté par acte'!P26,'Difficulté par acte'!N26))</f>
        <v>9.864873562500005</v>
      </c>
      <c r="D23" s="15">
        <f>IF($B$4=3,'Difficulté par acte'!S26,IF($B$4=2,'Difficulté par acte'!Q26,'Difficulté par acte'!O26))</f>
        <v>5.4931640625</v>
      </c>
      <c r="E23" s="13">
        <f>(40+('Difficulté par acte'!J26-1)*10+(A23-1)*25)*IF($B$4=3,2,IF($B$4=2,1.5,1))+(A23-1)*10</f>
        <v>590</v>
      </c>
      <c r="F23" s="12">
        <f t="shared" si="0"/>
        <v>276</v>
      </c>
      <c r="G23" s="12">
        <f t="shared" si="1"/>
        <v>27</v>
      </c>
      <c r="H23" s="13">
        <f t="shared" si="2"/>
        <v>143.4</v>
      </c>
      <c r="I23" s="8" t="str">
        <f t="shared" si="3"/>
        <v>oui</v>
      </c>
      <c r="J23" s="12">
        <f t="shared" si="4"/>
        <v>493</v>
      </c>
      <c r="K23" s="12">
        <f t="shared" si="5"/>
        <v>44</v>
      </c>
      <c r="L23" s="13">
        <f t="shared" si="6"/>
        <v>269.45</v>
      </c>
      <c r="M23" s="8" t="str">
        <f t="shared" si="7"/>
        <v>oui</v>
      </c>
      <c r="N23" s="12">
        <f t="shared" si="8"/>
        <v>178</v>
      </c>
      <c r="O23" s="12">
        <f t="shared" si="9"/>
        <v>22</v>
      </c>
      <c r="P23" s="13">
        <f t="shared" si="10"/>
        <v>105.7</v>
      </c>
      <c r="Q23" s="8" t="str">
        <f t="shared" si="11"/>
        <v>oui</v>
      </c>
      <c r="R23" s="12">
        <f t="shared" si="12"/>
        <v>217</v>
      </c>
      <c r="S23" s="12">
        <f t="shared" si="13"/>
        <v>44</v>
      </c>
      <c r="T23" s="13">
        <f t="shared" si="14"/>
        <v>181.05</v>
      </c>
      <c r="U23" s="8" t="str">
        <f t="shared" si="15"/>
        <v>oui</v>
      </c>
    </row>
    <row r="24" spans="1:21" x14ac:dyDescent="0.45">
      <c r="A24" s="10">
        <v>12</v>
      </c>
      <c r="B24" s="14">
        <f>IF($B$4=3,'Difficulté par acte'!M27,IF($B$4=2,'Difficulté par acte'!L27,'Difficulté par acte'!K27))</f>
        <v>23</v>
      </c>
      <c r="C24" s="15">
        <f>IF($B$4=3,'Difficulté par acte'!R27,IF($B$4=2,'Difficulté par acte'!P27,'Difficulté par acte'!N27))</f>
        <v>10.923105453750003</v>
      </c>
      <c r="D24" s="15">
        <f>IF($B$4=3,'Difficulté par acte'!S27,IF($B$4=2,'Difficulté par acte'!Q27,'Difficulté par acte'!O27))</f>
        <v>5.909423828125</v>
      </c>
      <c r="E24" s="13">
        <f>(40+('Difficulté par acte'!J27-1)*10+(A24-1)*25)*IF($B$4=3,2,IF($B$4=2,1.5,1))+(A24-1)*10</f>
        <v>645</v>
      </c>
      <c r="F24" s="12">
        <f t="shared" si="0"/>
        <v>306</v>
      </c>
      <c r="G24" s="12">
        <f t="shared" si="1"/>
        <v>30</v>
      </c>
      <c r="H24" s="13">
        <f t="shared" si="2"/>
        <v>157.5</v>
      </c>
      <c r="I24" s="8" t="str">
        <f t="shared" si="3"/>
        <v>oui</v>
      </c>
      <c r="J24" s="12">
        <f t="shared" si="4"/>
        <v>546</v>
      </c>
      <c r="K24" s="12">
        <f t="shared" si="5"/>
        <v>47</v>
      </c>
      <c r="L24" s="13">
        <f t="shared" si="6"/>
        <v>289.60000000000002</v>
      </c>
      <c r="M24" s="8" t="str">
        <f t="shared" si="7"/>
        <v>oui</v>
      </c>
      <c r="N24" s="12">
        <f t="shared" si="8"/>
        <v>197</v>
      </c>
      <c r="O24" s="12">
        <f t="shared" si="9"/>
        <v>24</v>
      </c>
      <c r="P24" s="13">
        <f t="shared" si="10"/>
        <v>114.65</v>
      </c>
      <c r="Q24" s="8" t="str">
        <f t="shared" si="11"/>
        <v>oui</v>
      </c>
      <c r="R24" s="12">
        <f t="shared" si="12"/>
        <v>240</v>
      </c>
      <c r="S24" s="12">
        <f t="shared" si="13"/>
        <v>47</v>
      </c>
      <c r="T24" s="13">
        <f t="shared" si="14"/>
        <v>193.4</v>
      </c>
      <c r="U24" s="8" t="str">
        <f t="shared" si="15"/>
        <v>oui</v>
      </c>
    </row>
    <row r="25" spans="1:21" x14ac:dyDescent="0.45">
      <c r="A25" s="10">
        <v>13</v>
      </c>
      <c r="B25" s="14">
        <f>IF($B$4=3,'Difficulté par acte'!M28,IF($B$4=2,'Difficulté par acte'!L28,'Difficulté par acte'!K28))</f>
        <v>25</v>
      </c>
      <c r="C25" s="15">
        <f>IF($B$4=3,'Difficulté par acte'!R28,IF($B$4=2,'Difficulté par acte'!P28,'Difficulté par acte'!N28))</f>
        <v>14.770406143125005</v>
      </c>
      <c r="D25" s="15">
        <f>IF($B$4=3,'Difficulté par acte'!S28,IF($B$4=2,'Difficulté par acte'!Q28,'Difficulté par acte'!O28))</f>
        <v>7.476806640625</v>
      </c>
      <c r="E25" s="13">
        <f>(40+('Difficulté par acte'!J28-1)*10+(A25-1)*25)*IF($B$4=3,2,IF($B$4=2,1.5,1))+(A25-1)*10</f>
        <v>700</v>
      </c>
      <c r="F25" s="12">
        <f t="shared" si="0"/>
        <v>414</v>
      </c>
      <c r="G25" s="12">
        <f t="shared" si="1"/>
        <v>37</v>
      </c>
      <c r="H25" s="13">
        <f t="shared" si="2"/>
        <v>199.9</v>
      </c>
      <c r="I25" s="8" t="str">
        <f t="shared" si="3"/>
        <v>oui</v>
      </c>
      <c r="J25" s="12">
        <f t="shared" si="4"/>
        <v>739</v>
      </c>
      <c r="K25" s="12">
        <f t="shared" si="5"/>
        <v>60</v>
      </c>
      <c r="L25" s="13">
        <f t="shared" si="6"/>
        <v>367.75</v>
      </c>
      <c r="M25" s="8" t="str">
        <f t="shared" si="7"/>
        <v>oui</v>
      </c>
      <c r="N25" s="12">
        <f t="shared" si="8"/>
        <v>266</v>
      </c>
      <c r="O25" s="12">
        <f t="shared" si="9"/>
        <v>30</v>
      </c>
      <c r="P25" s="13">
        <f t="shared" si="10"/>
        <v>144.5</v>
      </c>
      <c r="Q25" s="8" t="str">
        <f t="shared" si="11"/>
        <v>oui</v>
      </c>
      <c r="R25" s="12">
        <f t="shared" si="12"/>
        <v>325</v>
      </c>
      <c r="S25" s="12">
        <f t="shared" si="13"/>
        <v>60</v>
      </c>
      <c r="T25" s="13">
        <f t="shared" si="14"/>
        <v>243.25</v>
      </c>
      <c r="U25" s="8" t="str">
        <f t="shared" si="15"/>
        <v>oui</v>
      </c>
    </row>
    <row r="26" spans="1:21" x14ac:dyDescent="0.45">
      <c r="A26" s="10">
        <v>14</v>
      </c>
      <c r="B26" s="14">
        <f>IF($B$4=3,'Difficulté par acte'!M29,IF($B$4=2,'Difficulté par acte'!L29,'Difficulté par acte'!K29))</f>
        <v>27</v>
      </c>
      <c r="C26" s="15">
        <f>IF($B$4=3,'Difficulté par acte'!R29,IF($B$4=2,'Difficulté par acte'!P29,'Difficulté par acte'!N29))</f>
        <v>16.27166053800001</v>
      </c>
      <c r="D26" s="15">
        <f>IF($B$4=3,'Difficulté par acte'!S29,IF($B$4=2,'Difficulté par acte'!Q29,'Difficulté par acte'!O29))</f>
        <v>8.01544189453125</v>
      </c>
      <c r="E26" s="13">
        <f>(40+('Difficulté par acte'!J29-1)*10+(A26-1)*25)*IF($B$4=3,2,IF($B$4=2,1.5,1))+(A26-1)*10</f>
        <v>755</v>
      </c>
      <c r="F26" s="12">
        <f t="shared" si="0"/>
        <v>456</v>
      </c>
      <c r="G26" s="12">
        <f t="shared" si="1"/>
        <v>40</v>
      </c>
      <c r="H26" s="13">
        <f t="shared" si="2"/>
        <v>217</v>
      </c>
      <c r="I26" s="8" t="str">
        <f t="shared" si="3"/>
        <v>oui</v>
      </c>
      <c r="J26" s="12">
        <f t="shared" si="4"/>
        <v>814</v>
      </c>
      <c r="K26" s="12">
        <f t="shared" si="5"/>
        <v>64</v>
      </c>
      <c r="L26" s="13">
        <f t="shared" si="6"/>
        <v>395.7</v>
      </c>
      <c r="M26" s="8" t="str">
        <f t="shared" si="7"/>
        <v>oui</v>
      </c>
      <c r="N26" s="12">
        <f t="shared" si="8"/>
        <v>293</v>
      </c>
      <c r="O26" s="12">
        <f t="shared" si="9"/>
        <v>32</v>
      </c>
      <c r="P26" s="13">
        <f t="shared" si="10"/>
        <v>155.44999999999999</v>
      </c>
      <c r="Q26" s="8" t="str">
        <f t="shared" si="11"/>
        <v>oui</v>
      </c>
      <c r="R26" s="12">
        <f t="shared" si="12"/>
        <v>358</v>
      </c>
      <c r="S26" s="12">
        <f t="shared" si="13"/>
        <v>64</v>
      </c>
      <c r="T26" s="13">
        <f t="shared" si="14"/>
        <v>260.3</v>
      </c>
      <c r="U26" s="8" t="str">
        <f t="shared" si="15"/>
        <v>oui</v>
      </c>
    </row>
    <row r="27" spans="1:21" x14ac:dyDescent="0.45">
      <c r="A27" s="10">
        <v>15</v>
      </c>
      <c r="B27" s="14">
        <f>IF($B$4=3,'Difficulté par acte'!M30,IF($B$4=2,'Difficulté par acte'!L30,'Difficulté par acte'!K30))</f>
        <v>29</v>
      </c>
      <c r="C27" s="15">
        <f>IF($B$4=3,'Difficulté par acte'!R30,IF($B$4=2,'Difficulté par acte'!P30,'Difficulté par acte'!N30))</f>
        <v>21.901364518781257</v>
      </c>
      <c r="D27" s="15">
        <f>IF($B$4=3,'Difficulté par acte'!S30,IF($B$4=2,'Difficulté par acte'!Q30,'Difficulté par acte'!O30))</f>
        <v>10.10894775390625</v>
      </c>
      <c r="E27" s="13">
        <f>(40+('Difficulté par acte'!J30-1)*10+(A27-1)*25)*IF($B$4=3,2,IF($B$4=2,1.5,1))+(A27-1)*10</f>
        <v>810</v>
      </c>
      <c r="F27" s="12">
        <f t="shared" si="0"/>
        <v>613</v>
      </c>
      <c r="G27" s="12">
        <f t="shared" si="1"/>
        <v>51</v>
      </c>
      <c r="H27" s="13">
        <f t="shared" si="2"/>
        <v>280.45</v>
      </c>
      <c r="I27" s="8" t="str">
        <f t="shared" si="3"/>
        <v>oui</v>
      </c>
      <c r="J27" s="12">
        <f t="shared" si="4"/>
        <v>1095</v>
      </c>
      <c r="K27" s="12">
        <f t="shared" si="5"/>
        <v>81</v>
      </c>
      <c r="L27" s="13">
        <f t="shared" si="6"/>
        <v>505.04999999999995</v>
      </c>
      <c r="M27" s="8" t="str">
        <f t="shared" si="7"/>
        <v>oui</v>
      </c>
      <c r="N27" s="12">
        <f t="shared" si="8"/>
        <v>394</v>
      </c>
      <c r="O27" s="12">
        <f t="shared" si="9"/>
        <v>40</v>
      </c>
      <c r="P27" s="13">
        <f t="shared" si="10"/>
        <v>197.5</v>
      </c>
      <c r="Q27" s="8" t="str">
        <f t="shared" si="11"/>
        <v>oui</v>
      </c>
      <c r="R27" s="12">
        <f t="shared" si="12"/>
        <v>482</v>
      </c>
      <c r="S27" s="12">
        <f t="shared" si="13"/>
        <v>81</v>
      </c>
      <c r="T27" s="13">
        <f t="shared" si="14"/>
        <v>328.70000000000005</v>
      </c>
      <c r="U27" s="8" t="str">
        <f t="shared" si="15"/>
        <v>oui</v>
      </c>
    </row>
    <row r="28" spans="1:21" x14ac:dyDescent="0.45">
      <c r="A28" s="10">
        <v>16</v>
      </c>
      <c r="B28" s="14">
        <f>IF($B$4=3,'Difficulté par acte'!M31,IF($B$4=2,'Difficulté par acte'!L31,'Difficulté par acte'!K31))</f>
        <v>31</v>
      </c>
      <c r="C28" s="15">
        <f>IF($B$4=3,'Difficulté par acte'!R31,IF($B$4=2,'Difficulté par acte'!P31,'Difficulté par acte'!N31))</f>
        <v>24.026123763140635</v>
      </c>
      <c r="D28" s="15">
        <f>IF($B$4=3,'Difficulté par acte'!S31,IF($B$4=2,'Difficulté par acte'!Q31,'Difficulté par acte'!O31))</f>
        <v>10.805130004882813</v>
      </c>
      <c r="E28" s="13">
        <f>(40+('Difficulté par acte'!J31-1)*10+(A28-1)*25)*IF($B$4=3,2,IF($B$4=2,1.5,1))+(A28-1)*10</f>
        <v>865</v>
      </c>
      <c r="F28" s="12">
        <f t="shared" si="0"/>
        <v>673</v>
      </c>
      <c r="G28" s="12">
        <f t="shared" si="1"/>
        <v>54</v>
      </c>
      <c r="H28" s="13">
        <f t="shared" si="2"/>
        <v>302.05</v>
      </c>
      <c r="I28" s="8" t="str">
        <f t="shared" si="3"/>
        <v>oui</v>
      </c>
      <c r="J28" s="12">
        <f t="shared" si="4"/>
        <v>1201</v>
      </c>
      <c r="K28" s="12">
        <f t="shared" si="5"/>
        <v>86</v>
      </c>
      <c r="L28" s="13">
        <f t="shared" si="6"/>
        <v>543.04999999999995</v>
      </c>
      <c r="M28" s="8" t="str">
        <f t="shared" si="7"/>
        <v>oui</v>
      </c>
      <c r="N28" s="12">
        <f t="shared" si="8"/>
        <v>432</v>
      </c>
      <c r="O28" s="12">
        <f t="shared" si="9"/>
        <v>43</v>
      </c>
      <c r="P28" s="13">
        <f t="shared" si="10"/>
        <v>213.3</v>
      </c>
      <c r="Q28" s="8" t="str">
        <f t="shared" si="11"/>
        <v>oui</v>
      </c>
      <c r="R28" s="12">
        <f t="shared" si="12"/>
        <v>529</v>
      </c>
      <c r="S28" s="12">
        <f t="shared" si="13"/>
        <v>86</v>
      </c>
      <c r="T28" s="13">
        <f t="shared" si="14"/>
        <v>351.45000000000005</v>
      </c>
      <c r="U28" s="8" t="str">
        <f t="shared" si="15"/>
        <v>oui</v>
      </c>
    </row>
    <row r="29" spans="1:21" x14ac:dyDescent="0.45">
      <c r="A29" s="10">
        <v>17</v>
      </c>
      <c r="B29" s="14">
        <f>IF($B$4=3,'Difficulté par acte'!M32,IF($B$4=2,'Difficulté par acte'!L32,'Difficulté par acte'!K32))</f>
        <v>33</v>
      </c>
      <c r="C29" s="15">
        <f>IF($B$4=3,'Difficulté par acte'!R32,IF($B$4=2,'Difficulté par acte'!P32,'Difficulté par acte'!N32))</f>
        <v>32.214619004864076</v>
      </c>
      <c r="D29" s="15">
        <f>IF($B$4=3,'Difficulté par acte'!S32,IF($B$4=2,'Difficulté par acte'!Q32,'Difficulté par acte'!O32))</f>
        <v>13.589859008789064</v>
      </c>
      <c r="E29" s="13">
        <f>(40+('Difficulté par acte'!J32-1)*10+(A29-1)*25)*IF($B$4=3,2,IF($B$4=2,1.5,1))+(A29-1)*10</f>
        <v>920</v>
      </c>
      <c r="F29" s="12">
        <f t="shared" si="0"/>
        <v>902</v>
      </c>
      <c r="G29" s="12">
        <f t="shared" si="1"/>
        <v>68</v>
      </c>
      <c r="H29" s="13">
        <f t="shared" si="2"/>
        <v>390.1</v>
      </c>
      <c r="I29" s="8" t="str">
        <f t="shared" si="3"/>
        <v>oui</v>
      </c>
      <c r="J29" s="12">
        <f t="shared" si="4"/>
        <v>1611</v>
      </c>
      <c r="K29" s="12">
        <f t="shared" si="5"/>
        <v>109</v>
      </c>
      <c r="L29" s="13">
        <f t="shared" si="6"/>
        <v>698.45</v>
      </c>
      <c r="M29" s="8" t="str">
        <f t="shared" si="7"/>
        <v>oui</v>
      </c>
      <c r="N29" s="12">
        <f t="shared" si="8"/>
        <v>580</v>
      </c>
      <c r="O29" s="12">
        <f t="shared" si="9"/>
        <v>54</v>
      </c>
      <c r="P29" s="13">
        <f t="shared" si="10"/>
        <v>273.39999999999998</v>
      </c>
      <c r="Q29" s="8" t="str">
        <f t="shared" si="11"/>
        <v>oui</v>
      </c>
      <c r="R29" s="12">
        <f t="shared" si="12"/>
        <v>709</v>
      </c>
      <c r="S29" s="12">
        <f t="shared" si="13"/>
        <v>109</v>
      </c>
      <c r="T29" s="13">
        <f t="shared" si="14"/>
        <v>447.05</v>
      </c>
      <c r="U29" s="8" t="str">
        <f t="shared" si="15"/>
        <v>oui</v>
      </c>
    </row>
    <row r="30" spans="1:21" x14ac:dyDescent="0.45">
      <c r="A30" s="10">
        <v>18</v>
      </c>
      <c r="B30" s="14">
        <f>IF($B$4=3,'Difficulté par acte'!M33,IF($B$4=2,'Difficulté par acte'!L33,'Difficulté par acte'!K33))</f>
        <v>35</v>
      </c>
      <c r="C30" s="15">
        <f>IF($B$4=3,'Difficulté par acte'!R33,IF($B$4=2,'Difficulté par acte'!P33,'Difficulté par acte'!N33))</f>
        <v>35.215432829974709</v>
      </c>
      <c r="D30" s="15">
        <f>IF($B$4=3,'Difficulté par acte'!S33,IF($B$4=2,'Difficulté par acte'!Q33,'Difficulté par acte'!O33))</f>
        <v>14.488697052001955</v>
      </c>
      <c r="E30" s="13">
        <f>(40+('Difficulté par acte'!J33-1)*10+(A30-1)*25)*IF($B$4=3,2,IF($B$4=2,1.5,1))+(A30-1)*10</f>
        <v>975</v>
      </c>
      <c r="F30" s="12">
        <f t="shared" si="0"/>
        <v>986</v>
      </c>
      <c r="G30" s="12">
        <f t="shared" si="1"/>
        <v>72</v>
      </c>
      <c r="H30" s="13">
        <f t="shared" si="2"/>
        <v>419.9</v>
      </c>
      <c r="I30" s="8" t="str">
        <f t="shared" si="3"/>
        <v>oui</v>
      </c>
      <c r="J30" s="12">
        <f t="shared" si="4"/>
        <v>1761</v>
      </c>
      <c r="K30" s="12">
        <f t="shared" si="5"/>
        <v>116</v>
      </c>
      <c r="L30" s="13">
        <f t="shared" si="6"/>
        <v>752.05</v>
      </c>
      <c r="M30" s="8" t="str">
        <f t="shared" si="7"/>
        <v>oui</v>
      </c>
      <c r="N30" s="12">
        <f t="shared" si="8"/>
        <v>634</v>
      </c>
      <c r="O30" s="12">
        <f t="shared" si="9"/>
        <v>58</v>
      </c>
      <c r="P30" s="13">
        <f t="shared" si="10"/>
        <v>295.3</v>
      </c>
      <c r="Q30" s="8" t="str">
        <f t="shared" si="11"/>
        <v>oui</v>
      </c>
      <c r="R30" s="12">
        <f t="shared" si="12"/>
        <v>775</v>
      </c>
      <c r="S30" s="12">
        <f t="shared" si="13"/>
        <v>116</v>
      </c>
      <c r="T30" s="13">
        <f t="shared" si="14"/>
        <v>478.95000000000005</v>
      </c>
      <c r="U30" s="8" t="str">
        <f t="shared" si="15"/>
        <v>oui</v>
      </c>
    </row>
    <row r="31" spans="1:21" x14ac:dyDescent="0.45">
      <c r="A31" s="10">
        <v>19</v>
      </c>
      <c r="B31" s="14">
        <f>IF($B$4=3,'Difficulté par acte'!M34,IF($B$4=2,'Difficulté par acte'!L34,'Difficulté par acte'!K34))</f>
        <v>37</v>
      </c>
      <c r="C31" s="15">
        <f>IF($B$4=3,'Difficulté par acte'!R34,IF($B$4=2,'Difficulté par acte'!P34,'Difficulté par acte'!N34))</f>
        <v>47.064234477654168</v>
      </c>
      <c r="D31" s="15">
        <f>IF($B$4=3,'Difficulté par acte'!S34,IF($B$4=2,'Difficulté par acte'!Q34,'Difficulté par acte'!O34))</f>
        <v>18.179416656494141</v>
      </c>
      <c r="E31" s="13">
        <f>(40+('Difficulté par acte'!J34-1)*10+(A31-1)*25)*IF($B$4=3,2,IF($B$4=2,1.5,1))+(A31-1)*10</f>
        <v>1030</v>
      </c>
      <c r="F31" s="12">
        <f t="shared" si="0"/>
        <v>1318</v>
      </c>
      <c r="G31" s="12">
        <f t="shared" si="1"/>
        <v>91</v>
      </c>
      <c r="H31" s="13">
        <f t="shared" si="2"/>
        <v>544.70000000000005</v>
      </c>
      <c r="I31" s="8" t="str">
        <f t="shared" si="3"/>
        <v>oui</v>
      </c>
      <c r="J31" s="12">
        <f t="shared" si="4"/>
        <v>2353</v>
      </c>
      <c r="K31" s="12">
        <f t="shared" si="5"/>
        <v>145</v>
      </c>
      <c r="L31" s="13">
        <f t="shared" si="6"/>
        <v>966.75</v>
      </c>
      <c r="M31" s="8" t="str">
        <f t="shared" si="7"/>
        <v>oui</v>
      </c>
      <c r="N31" s="12">
        <f t="shared" si="8"/>
        <v>847</v>
      </c>
      <c r="O31" s="12">
        <f t="shared" si="9"/>
        <v>73</v>
      </c>
      <c r="P31" s="13">
        <f t="shared" si="10"/>
        <v>380.05</v>
      </c>
      <c r="Q31" s="8" t="str">
        <f t="shared" si="11"/>
        <v>oui</v>
      </c>
      <c r="R31" s="12">
        <f t="shared" si="12"/>
        <v>1035</v>
      </c>
      <c r="S31" s="12">
        <f t="shared" si="13"/>
        <v>145</v>
      </c>
      <c r="T31" s="13">
        <f t="shared" si="14"/>
        <v>607.75</v>
      </c>
      <c r="U31" s="8" t="str">
        <f t="shared" si="15"/>
        <v>oui</v>
      </c>
    </row>
    <row r="32" spans="1:21" x14ac:dyDescent="0.45">
      <c r="A32" s="10">
        <v>20</v>
      </c>
      <c r="B32" s="14">
        <f>IF($B$4=3,'Difficulté par acte'!M35,IF($B$4=2,'Difficulté par acte'!L35,'Difficulté par acte'!K35))</f>
        <v>39</v>
      </c>
      <c r="C32" s="15">
        <f>IF($B$4=3,'Difficulté par acte'!R35,IF($B$4=2,'Difficulté par acte'!P35,'Difficulté par acte'!N35))</f>
        <v>51.294058082607897</v>
      </c>
      <c r="D32" s="15">
        <f>IF($B$4=3,'Difficulté par acte'!S35,IF($B$4=2,'Difficulté par acte'!Q35,'Difficulté par acte'!O35))</f>
        <v>19.338726997375488</v>
      </c>
      <c r="E32" s="13">
        <f>(40+('Difficulté par acte'!J35-1)*10+(A32-1)*25)*IF($B$4=3,2,IF($B$4=2,1.5,1))+(A32-1)*10</f>
        <v>1085</v>
      </c>
      <c r="F32" s="12">
        <f t="shared" si="0"/>
        <v>1436</v>
      </c>
      <c r="G32" s="12">
        <f t="shared" si="1"/>
        <v>97</v>
      </c>
      <c r="H32" s="13">
        <f t="shared" si="2"/>
        <v>587.4</v>
      </c>
      <c r="I32" s="8" t="str">
        <f t="shared" si="3"/>
        <v>oui</v>
      </c>
      <c r="J32" s="12">
        <f t="shared" si="4"/>
        <v>2565</v>
      </c>
      <c r="K32" s="12">
        <f t="shared" si="5"/>
        <v>155</v>
      </c>
      <c r="L32" s="13">
        <f t="shared" si="6"/>
        <v>1042.75</v>
      </c>
      <c r="M32" s="8" t="str">
        <f t="shared" si="7"/>
        <v>oui</v>
      </c>
      <c r="N32" s="12">
        <f t="shared" si="8"/>
        <v>923</v>
      </c>
      <c r="O32" s="12">
        <f t="shared" si="9"/>
        <v>77</v>
      </c>
      <c r="P32" s="13">
        <f t="shared" si="10"/>
        <v>407.45000000000005</v>
      </c>
      <c r="Q32" s="8" t="str">
        <f t="shared" si="11"/>
        <v>oui</v>
      </c>
      <c r="R32" s="12">
        <f t="shared" si="12"/>
        <v>1128</v>
      </c>
      <c r="S32" s="12">
        <f t="shared" si="13"/>
        <v>155</v>
      </c>
      <c r="T32" s="13">
        <f t="shared" si="14"/>
        <v>653</v>
      </c>
      <c r="U32" s="8" t="str">
        <f t="shared" si="15"/>
        <v>oui</v>
      </c>
    </row>
    <row r="33" spans="1:1" x14ac:dyDescent="0.45">
      <c r="A33" s="2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showGridLines="0" workbookViewId="0"/>
  </sheetViews>
  <sheetFormatPr baseColWidth="10" defaultColWidth="9.06640625" defaultRowHeight="14.25" x14ac:dyDescent="0.45"/>
  <cols>
    <col min="1" max="1" width="40" customWidth="1"/>
    <col min="2" max="9" width="14" customWidth="1"/>
    <col min="10" max="10" width="40" customWidth="1"/>
  </cols>
  <sheetData>
    <row r="1" spans="1:10" ht="17.649999999999999" x14ac:dyDescent="0.5">
      <c r="A1" s="1" t="s">
        <v>113</v>
      </c>
    </row>
    <row r="2" spans="1:10" x14ac:dyDescent="0.45">
      <c r="A2" s="2" t="s">
        <v>114</v>
      </c>
    </row>
    <row r="4" spans="1:10" x14ac:dyDescent="0.45">
      <c r="A4" s="3" t="s">
        <v>115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45">
      <c r="A5" s="5" t="s">
        <v>59</v>
      </c>
      <c r="B5" s="11">
        <v>1</v>
      </c>
    </row>
    <row r="6" spans="1:10" x14ac:dyDescent="0.45">
      <c r="A6" s="5" t="s">
        <v>116</v>
      </c>
      <c r="B6" s="11">
        <v>1</v>
      </c>
    </row>
    <row r="7" spans="1:10" x14ac:dyDescent="0.45">
      <c r="A7" s="5" t="s">
        <v>117</v>
      </c>
      <c r="B7" s="11">
        <v>100</v>
      </c>
      <c r="C7" s="2" t="s">
        <v>118</v>
      </c>
    </row>
    <row r="8" spans="1:10" x14ac:dyDescent="0.45">
      <c r="A8" s="5" t="s">
        <v>119</v>
      </c>
      <c r="B8" s="11">
        <v>0</v>
      </c>
    </row>
    <row r="9" spans="1:10" x14ac:dyDescent="0.45">
      <c r="A9" s="5" t="s">
        <v>120</v>
      </c>
      <c r="B9" s="11">
        <v>3</v>
      </c>
    </row>
    <row r="10" spans="1:10" x14ac:dyDescent="0.45">
      <c r="A10" s="5" t="s">
        <v>121</v>
      </c>
      <c r="B10" s="11">
        <v>0</v>
      </c>
    </row>
    <row r="11" spans="1:10" x14ac:dyDescent="0.45">
      <c r="A11" s="5" t="s">
        <v>122</v>
      </c>
      <c r="B11" s="11">
        <v>0</v>
      </c>
      <c r="C11" s="2" t="s">
        <v>123</v>
      </c>
    </row>
    <row r="12" spans="1:10" x14ac:dyDescent="0.45">
      <c r="A12" s="5" t="s">
        <v>88</v>
      </c>
      <c r="B12" s="11">
        <v>1</v>
      </c>
    </row>
    <row r="13" spans="1:10" x14ac:dyDescent="0.45">
      <c r="A13" s="5" t="s">
        <v>124</v>
      </c>
      <c r="B13" s="11">
        <v>0</v>
      </c>
      <c r="C13" s="2" t="s">
        <v>125</v>
      </c>
    </row>
    <row r="15" spans="1:10" x14ac:dyDescent="0.45">
      <c r="A15" s="3" t="s">
        <v>104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45">
      <c r="A16" s="5" t="s">
        <v>126</v>
      </c>
      <c r="B16" s="9">
        <f>$B$7+$B$8*10+$B$9*15+$B$10*5+$B$11*2</f>
        <v>145</v>
      </c>
      <c r="C16" s="2" t="s">
        <v>127</v>
      </c>
    </row>
    <row r="17" spans="1:10" x14ac:dyDescent="0.45">
      <c r="A17" s="5" t="s">
        <v>82</v>
      </c>
      <c r="B17" s="9">
        <f>145+($B$6-1)*15+($B$5-1)*20</f>
        <v>145</v>
      </c>
    </row>
    <row r="18" spans="1:10" x14ac:dyDescent="0.45">
      <c r="A18" s="5" t="s">
        <v>128</v>
      </c>
      <c r="B18" s="9">
        <f>$B$16/$B$17</f>
        <v>1</v>
      </c>
    </row>
    <row r="19" spans="1:10" x14ac:dyDescent="0.45">
      <c r="A19" s="5" t="s">
        <v>129</v>
      </c>
      <c r="B19" s="9">
        <f>1+($B$18-1)*0.5</f>
        <v>1</v>
      </c>
    </row>
    <row r="20" spans="1:10" x14ac:dyDescent="0.45">
      <c r="A20" s="5" t="s">
        <v>83</v>
      </c>
      <c r="B20" s="9">
        <f>40+($B$6-1)*10+($B$5-1)*25</f>
        <v>40</v>
      </c>
    </row>
    <row r="21" spans="1:10" x14ac:dyDescent="0.45">
      <c r="A21" s="5" t="s">
        <v>130</v>
      </c>
      <c r="B21" s="9">
        <f>IF($B$12=3,2,IF($B$12=2,1.5,1))</f>
        <v>1</v>
      </c>
    </row>
    <row r="22" spans="1:10" x14ac:dyDescent="0.45">
      <c r="A22" s="5" t="s">
        <v>131</v>
      </c>
      <c r="B22" s="9">
        <f>$B$20*$B$19*$B$21+($B$5-1)*10</f>
        <v>40</v>
      </c>
    </row>
    <row r="23" spans="1:10" x14ac:dyDescent="0.45">
      <c r="A23" s="5" t="s">
        <v>132</v>
      </c>
      <c r="B23" s="10">
        <f>IF($B$12=3,1+INT(($B$5-1)/5),IF($B$12=2,1+INT(($B$5-1)/2),$B$5))</f>
        <v>1</v>
      </c>
      <c r="C23" s="2" t="s">
        <v>133</v>
      </c>
    </row>
    <row r="25" spans="1:10" x14ac:dyDescent="0.45">
      <c r="A25" s="3" t="s">
        <v>134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45">
      <c r="A26" s="5" t="s">
        <v>135</v>
      </c>
      <c r="B26" s="10">
        <f>MAX(1,$B$6+IF($B$12=3,2,IF($B$12=2,1,0)))</f>
        <v>1</v>
      </c>
    </row>
    <row r="27" spans="1:10" x14ac:dyDescent="0.45">
      <c r="A27" s="5" t="s">
        <v>136</v>
      </c>
      <c r="B27" s="9">
        <f>1.35^INT(($B$5-1)/2)*(1+0.05*MOD($B$5-1,2))</f>
        <v>1</v>
      </c>
    </row>
    <row r="28" spans="1:10" x14ac:dyDescent="0.45">
      <c r="A28" s="5" t="s">
        <v>137</v>
      </c>
      <c r="B28" s="9">
        <f>1.25^INT(($B$5-1)/2)*(1+0.03*MOD($B$5-1,2))</f>
        <v>1</v>
      </c>
    </row>
    <row r="29" spans="1:10" x14ac:dyDescent="0.45">
      <c r="A29" s="5" t="s">
        <v>138</v>
      </c>
      <c r="B29" s="9">
        <f>IF($B$12=3,3,IF($B$12=2,1.5,1))</f>
        <v>1</v>
      </c>
    </row>
    <row r="30" spans="1:10" x14ac:dyDescent="0.45">
      <c r="A30" s="5" t="s">
        <v>139</v>
      </c>
      <c r="B30" s="9">
        <f>(1+0.06*($B$26-1))*$B$27*$B$29</f>
        <v>1</v>
      </c>
    </row>
    <row r="31" spans="1:10" x14ac:dyDescent="0.45">
      <c r="A31" s="5" t="s">
        <v>140</v>
      </c>
      <c r="B31" s="9">
        <f>(1+0.04*($B$26-1))*$B$28*$B$29</f>
        <v>1</v>
      </c>
    </row>
    <row r="32" spans="1:10" x14ac:dyDescent="0.45">
      <c r="A32" s="5" t="s">
        <v>141</v>
      </c>
      <c r="B32" s="10">
        <f>MIN(3,1+INT(($B$5-1)/5))</f>
        <v>1</v>
      </c>
    </row>
    <row r="33" spans="1:10" x14ac:dyDescent="0.45">
      <c r="A33" s="5" t="s">
        <v>142</v>
      </c>
      <c r="B33" s="9">
        <f>1+0.1*($B$26-1)</f>
        <v>1</v>
      </c>
      <c r="C33" s="2" t="s">
        <v>143</v>
      </c>
    </row>
    <row r="35" spans="1:10" x14ac:dyDescent="0.45">
      <c r="A35" s="6" t="s">
        <v>90</v>
      </c>
      <c r="B35" s="6" t="s">
        <v>93</v>
      </c>
      <c r="C35" s="6" t="s">
        <v>144</v>
      </c>
      <c r="D35" s="6" t="s">
        <v>145</v>
      </c>
      <c r="E35" s="6" t="s">
        <v>146</v>
      </c>
      <c r="F35" s="6" t="s">
        <v>147</v>
      </c>
      <c r="G35" s="6" t="s">
        <v>148</v>
      </c>
      <c r="H35" s="6" t="s">
        <v>149</v>
      </c>
      <c r="I35" s="6" t="s">
        <v>150</v>
      </c>
      <c r="J35" s="6" t="s">
        <v>151</v>
      </c>
    </row>
    <row r="36" spans="1:10" x14ac:dyDescent="0.45">
      <c r="A36" s="8" t="s">
        <v>97</v>
      </c>
      <c r="B36" s="10">
        <v>1</v>
      </c>
      <c r="C36" s="12">
        <f>ROUND(28*$B$30,0)</f>
        <v>28</v>
      </c>
      <c r="D36" s="12">
        <f>ROUND(5*$B$31,0)</f>
        <v>5</v>
      </c>
      <c r="E36" s="13">
        <f>B36*15+C36/4+D36*2*(1+10/100)</f>
        <v>33</v>
      </c>
      <c r="F36" s="8" t="str">
        <f>IF(B36&lt;=$B$32,"oui","non")</f>
        <v>oui</v>
      </c>
      <c r="G36" s="8" t="str">
        <f>IF(AND(F36="oui",E36&lt;=$B$22),"oui","non")</f>
        <v>oui</v>
      </c>
      <c r="H36" s="12">
        <f>ROUND(35*$B$33,0)*IF($B$13=1,3,1)</f>
        <v>35</v>
      </c>
      <c r="I36" s="12">
        <f>ROUND(12*$B$33,0)*IF($B$13=1,3,1)</f>
        <v>12</v>
      </c>
      <c r="J36" s="8" t="str">
        <f>"attack "&amp;ROUND(5*D36/5,0)</f>
        <v>attack 5</v>
      </c>
    </row>
    <row r="37" spans="1:10" x14ac:dyDescent="0.45">
      <c r="A37" s="8" t="s">
        <v>98</v>
      </c>
      <c r="B37" s="10">
        <v>3</v>
      </c>
      <c r="C37" s="12">
        <f>ROUND(50*$B$30,0)</f>
        <v>50</v>
      </c>
      <c r="D37" s="12">
        <f>ROUND(8*$B$31,0)</f>
        <v>8</v>
      </c>
      <c r="E37" s="13">
        <f>B37*15+C37/4+D37*2*(1+15/100)</f>
        <v>75.900000000000006</v>
      </c>
      <c r="F37" s="8" t="str">
        <f>IF(B37&lt;=$B$32,"oui","non")</f>
        <v>non</v>
      </c>
      <c r="G37" s="8" t="str">
        <f>IF(AND(F37="oui",E37&lt;=$B$22),"oui","non")</f>
        <v>non</v>
      </c>
      <c r="H37" s="12">
        <f>ROUND(100*$B$33,0)*IF($B$13=1,3,1)</f>
        <v>100</v>
      </c>
      <c r="I37" s="12">
        <f>ROUND(25*$B$33,0)*IF($B$13=1,3,1)</f>
        <v>25</v>
      </c>
      <c r="J37" s="8" t="str">
        <f>"attack "&amp;ROUND(8*D37/8,0)&amp;" → "&amp;"buff 2"&amp;" → "&amp;"attack "&amp;ROUND(12*D37/8,0)</f>
        <v>attack 8 → buff 2 → attack 12</v>
      </c>
    </row>
    <row r="38" spans="1:10" x14ac:dyDescent="0.45">
      <c r="A38" s="8" t="s">
        <v>99</v>
      </c>
      <c r="B38" s="10">
        <v>1</v>
      </c>
      <c r="C38" s="12">
        <f>ROUND(18*$B$30,0)</f>
        <v>18</v>
      </c>
      <c r="D38" s="12">
        <f>ROUND(4*$B$31,0)</f>
        <v>4</v>
      </c>
      <c r="E38" s="13">
        <f>B38*15+C38/4+D38*2*(1+5/100)</f>
        <v>27.9</v>
      </c>
      <c r="F38" s="8" t="str">
        <f>IF(B38&lt;=$B$32,"oui","non")</f>
        <v>oui</v>
      </c>
      <c r="G38" s="8" t="str">
        <f>IF(AND(F38="oui",E38&lt;=$B$22),"oui","non")</f>
        <v>oui</v>
      </c>
      <c r="H38" s="12">
        <f>ROUND(25*$B$33,0)*IF($B$13=1,3,1)</f>
        <v>25</v>
      </c>
      <c r="I38" s="12">
        <f>ROUND(10*$B$33,0)*IF($B$13=1,3,1)</f>
        <v>10</v>
      </c>
      <c r="J38" s="8" t="str">
        <f>"attack "&amp;ROUND(4*D38/4,0)</f>
        <v>attack 4</v>
      </c>
    </row>
    <row r="39" spans="1:10" x14ac:dyDescent="0.45">
      <c r="A39" s="8" t="s">
        <v>100</v>
      </c>
      <c r="B39" s="10">
        <v>2</v>
      </c>
      <c r="C39" s="12">
        <f>ROUND(22*$B$30,0)</f>
        <v>22</v>
      </c>
      <c r="D39" s="12">
        <f>ROUND(8*$B$31,0)</f>
        <v>8</v>
      </c>
      <c r="E39" s="13">
        <f>B39*15+C39/4+D39*2*(1+10/100)</f>
        <v>53.1</v>
      </c>
      <c r="F39" s="8" t="str">
        <f>IF(B39&lt;=$B$32,"oui","non")</f>
        <v>non</v>
      </c>
      <c r="G39" s="8" t="str">
        <f>IF(AND(F39="oui",E39&lt;=$B$22),"oui","non")</f>
        <v>non</v>
      </c>
      <c r="H39" s="12">
        <f>ROUND(50*$B$33,0)*IF($B$13=1,3,1)</f>
        <v>50</v>
      </c>
      <c r="I39" s="12">
        <f>ROUND(15*$B$33,0)*IF($B$13=1,3,1)</f>
        <v>15</v>
      </c>
      <c r="J39" s="8" t="str">
        <f>"attack "&amp;ROUND(8*D39/8,0)&amp;" → "&amp;"attack "&amp;ROUND(10*D39/8,0)</f>
        <v>attack 8 → attack 10</v>
      </c>
    </row>
    <row r="40" spans="1:10" x14ac:dyDescent="0.45">
      <c r="A40" s="2" t="s">
        <v>152</v>
      </c>
    </row>
    <row r="41" spans="1:10" x14ac:dyDescent="0.45">
      <c r="A41" s="2" t="s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5"/>
  <sheetViews>
    <sheetView showGridLines="0" workbookViewId="0"/>
  </sheetViews>
  <sheetFormatPr baseColWidth="10" defaultColWidth="9.06640625" defaultRowHeight="14.25" x14ac:dyDescent="0.45"/>
  <cols>
    <col min="1" max="1" width="10" customWidth="1"/>
    <col min="2" max="9" width="14" customWidth="1"/>
    <col min="10" max="10" width="40" customWidth="1"/>
  </cols>
  <sheetData>
    <row r="1" spans="1:10" ht="17.649999999999999" x14ac:dyDescent="0.5">
      <c r="A1" s="1" t="s">
        <v>22</v>
      </c>
    </row>
    <row r="2" spans="1:10" x14ac:dyDescent="0.45">
      <c r="A2" s="2" t="s">
        <v>154</v>
      </c>
    </row>
    <row r="4" spans="1:10" x14ac:dyDescent="0.45">
      <c r="A4" s="3" t="s">
        <v>155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45">
      <c r="A5" s="6" t="s">
        <v>59</v>
      </c>
      <c r="B5" s="6" t="s">
        <v>156</v>
      </c>
      <c r="C5" s="6" t="s">
        <v>157</v>
      </c>
      <c r="D5" s="6" t="s">
        <v>158</v>
      </c>
      <c r="E5" s="6" t="s">
        <v>159</v>
      </c>
      <c r="F5" s="6" t="s">
        <v>160</v>
      </c>
    </row>
    <row r="6" spans="1:10" x14ac:dyDescent="0.45">
      <c r="A6" s="10">
        <v>1</v>
      </c>
      <c r="B6" s="10">
        <v>115</v>
      </c>
      <c r="C6" s="10">
        <v>2</v>
      </c>
      <c r="D6" s="12">
        <f t="shared" ref="D6:D20" si="0">B6*C6</f>
        <v>230</v>
      </c>
      <c r="E6" s="12">
        <f>D6</f>
        <v>230</v>
      </c>
      <c r="F6" s="16"/>
    </row>
    <row r="7" spans="1:10" x14ac:dyDescent="0.45">
      <c r="A7" s="10">
        <v>2</v>
      </c>
      <c r="B7" s="10">
        <v>200</v>
      </c>
      <c r="C7" s="10">
        <v>2</v>
      </c>
      <c r="D7" s="12">
        <f t="shared" si="0"/>
        <v>400</v>
      </c>
      <c r="E7" s="12">
        <f t="shared" ref="E7:E20" si="1">E6+D7</f>
        <v>630</v>
      </c>
      <c r="F7" s="16">
        <f t="shared" ref="F7:F20" si="2">B7/B6-1</f>
        <v>0.73913043478260865</v>
      </c>
    </row>
    <row r="8" spans="1:10" x14ac:dyDescent="0.45">
      <c r="A8" s="10">
        <v>3</v>
      </c>
      <c r="B8" s="10">
        <v>310</v>
      </c>
      <c r="C8" s="10">
        <v>2</v>
      </c>
      <c r="D8" s="12">
        <f t="shared" si="0"/>
        <v>620</v>
      </c>
      <c r="E8" s="12">
        <f t="shared" si="1"/>
        <v>1250</v>
      </c>
      <c r="F8" s="16">
        <f t="shared" si="2"/>
        <v>0.55000000000000004</v>
      </c>
    </row>
    <row r="9" spans="1:10" x14ac:dyDescent="0.45">
      <c r="A9" s="10">
        <v>4</v>
      </c>
      <c r="B9" s="10">
        <v>480</v>
      </c>
      <c r="C9" s="10">
        <v>2</v>
      </c>
      <c r="D9" s="12">
        <f t="shared" si="0"/>
        <v>960</v>
      </c>
      <c r="E9" s="12">
        <f t="shared" si="1"/>
        <v>2210</v>
      </c>
      <c r="F9" s="16">
        <f t="shared" si="2"/>
        <v>0.54838709677419351</v>
      </c>
    </row>
    <row r="10" spans="1:10" x14ac:dyDescent="0.45">
      <c r="A10" s="10">
        <v>5</v>
      </c>
      <c r="B10" s="10">
        <v>590</v>
      </c>
      <c r="C10" s="10">
        <v>2</v>
      </c>
      <c r="D10" s="12">
        <f t="shared" si="0"/>
        <v>1180</v>
      </c>
      <c r="E10" s="12">
        <f t="shared" si="1"/>
        <v>3390</v>
      </c>
      <c r="F10" s="16">
        <f t="shared" si="2"/>
        <v>0.22916666666666674</v>
      </c>
    </row>
    <row r="11" spans="1:10" x14ac:dyDescent="0.45">
      <c r="A11" s="10">
        <v>6</v>
      </c>
      <c r="B11" s="10">
        <v>775</v>
      </c>
      <c r="C11" s="10">
        <v>2</v>
      </c>
      <c r="D11" s="12">
        <f t="shared" si="0"/>
        <v>1550</v>
      </c>
      <c r="E11" s="12">
        <f t="shared" si="1"/>
        <v>4940</v>
      </c>
      <c r="F11" s="16">
        <f t="shared" si="2"/>
        <v>0.31355932203389836</v>
      </c>
    </row>
    <row r="12" spans="1:10" x14ac:dyDescent="0.45">
      <c r="A12" s="10">
        <v>7</v>
      </c>
      <c r="B12" s="10">
        <v>955</v>
      </c>
      <c r="C12" s="10">
        <v>2</v>
      </c>
      <c r="D12" s="12">
        <f t="shared" si="0"/>
        <v>1910</v>
      </c>
      <c r="E12" s="12">
        <f t="shared" si="1"/>
        <v>6850</v>
      </c>
      <c r="F12" s="16">
        <f t="shared" si="2"/>
        <v>0.23225806451612896</v>
      </c>
    </row>
    <row r="13" spans="1:10" x14ac:dyDescent="0.45">
      <c r="A13" s="10">
        <v>8</v>
      </c>
      <c r="B13" s="10">
        <v>1100</v>
      </c>
      <c r="C13" s="10">
        <v>2</v>
      </c>
      <c r="D13" s="12">
        <f t="shared" si="0"/>
        <v>2200</v>
      </c>
      <c r="E13" s="12">
        <f t="shared" si="1"/>
        <v>9050</v>
      </c>
      <c r="F13" s="16">
        <f t="shared" si="2"/>
        <v>0.1518324607329844</v>
      </c>
    </row>
    <row r="14" spans="1:10" x14ac:dyDescent="0.45">
      <c r="A14" s="10">
        <v>9</v>
      </c>
      <c r="B14" s="10">
        <v>1040</v>
      </c>
      <c r="C14" s="10">
        <v>2</v>
      </c>
      <c r="D14" s="12">
        <f t="shared" si="0"/>
        <v>2080</v>
      </c>
      <c r="E14" s="12">
        <f t="shared" si="1"/>
        <v>11130</v>
      </c>
      <c r="F14" s="16">
        <f t="shared" si="2"/>
        <v>-5.4545454545454564E-2</v>
      </c>
    </row>
    <row r="15" spans="1:10" x14ac:dyDescent="0.45">
      <c r="A15" s="10">
        <v>10</v>
      </c>
      <c r="B15" s="10">
        <v>1185</v>
      </c>
      <c r="C15" s="10">
        <v>2</v>
      </c>
      <c r="D15" s="12">
        <f t="shared" si="0"/>
        <v>2370</v>
      </c>
      <c r="E15" s="12">
        <f t="shared" si="1"/>
        <v>13500</v>
      </c>
      <c r="F15" s="16">
        <f t="shared" si="2"/>
        <v>0.13942307692307687</v>
      </c>
    </row>
    <row r="16" spans="1:10" x14ac:dyDescent="0.45">
      <c r="A16" s="10">
        <v>11</v>
      </c>
      <c r="B16" s="10">
        <v>1370</v>
      </c>
      <c r="C16" s="10">
        <v>2</v>
      </c>
      <c r="D16" s="12">
        <f t="shared" si="0"/>
        <v>2740</v>
      </c>
      <c r="E16" s="12">
        <f t="shared" si="1"/>
        <v>16240</v>
      </c>
      <c r="F16" s="16">
        <f t="shared" si="2"/>
        <v>0.1561181434599157</v>
      </c>
    </row>
    <row r="17" spans="1:10" x14ac:dyDescent="0.45">
      <c r="A17" s="10">
        <v>12</v>
      </c>
      <c r="B17" s="10">
        <v>1370</v>
      </c>
      <c r="C17" s="10">
        <v>2</v>
      </c>
      <c r="D17" s="12">
        <f t="shared" si="0"/>
        <v>2740</v>
      </c>
      <c r="E17" s="12">
        <f t="shared" si="1"/>
        <v>18980</v>
      </c>
      <c r="F17" s="16">
        <f t="shared" si="2"/>
        <v>0</v>
      </c>
    </row>
    <row r="18" spans="1:10" x14ac:dyDescent="0.45">
      <c r="A18" s="10">
        <v>13</v>
      </c>
      <c r="B18" s="10">
        <v>1300</v>
      </c>
      <c r="C18" s="10">
        <v>2</v>
      </c>
      <c r="D18" s="12">
        <f t="shared" si="0"/>
        <v>2600</v>
      </c>
      <c r="E18" s="12">
        <f t="shared" si="1"/>
        <v>21580</v>
      </c>
      <c r="F18" s="16">
        <f t="shared" si="2"/>
        <v>-5.1094890510948954E-2</v>
      </c>
    </row>
    <row r="19" spans="1:10" x14ac:dyDescent="0.45">
      <c r="A19" s="10">
        <v>14</v>
      </c>
      <c r="B19" s="10">
        <v>1375</v>
      </c>
      <c r="C19" s="10">
        <v>2</v>
      </c>
      <c r="D19" s="12">
        <f t="shared" si="0"/>
        <v>2750</v>
      </c>
      <c r="E19" s="12">
        <f t="shared" si="1"/>
        <v>24330</v>
      </c>
      <c r="F19" s="16">
        <f t="shared" si="2"/>
        <v>5.7692307692307709E-2</v>
      </c>
    </row>
    <row r="20" spans="1:10" x14ac:dyDescent="0.45">
      <c r="A20" s="10">
        <v>15</v>
      </c>
      <c r="B20" s="10">
        <v>1015</v>
      </c>
      <c r="C20" s="10">
        <v>2</v>
      </c>
      <c r="D20" s="12">
        <f t="shared" si="0"/>
        <v>2030</v>
      </c>
      <c r="E20" s="12">
        <f t="shared" si="1"/>
        <v>26360</v>
      </c>
      <c r="F20" s="16">
        <f t="shared" si="2"/>
        <v>-0.26181818181818184</v>
      </c>
    </row>
    <row r="21" spans="1:10" x14ac:dyDescent="0.45">
      <c r="A21" s="17" t="s">
        <v>161</v>
      </c>
      <c r="B21" s="14">
        <f>B20</f>
        <v>1015</v>
      </c>
      <c r="C21" s="10">
        <v>2</v>
      </c>
      <c r="D21" s="8"/>
      <c r="E21" s="8"/>
      <c r="F21" s="18" t="s">
        <v>162</v>
      </c>
    </row>
    <row r="22" spans="1:10" x14ac:dyDescent="0.45">
      <c r="A22" s="2" t="s">
        <v>163</v>
      </c>
    </row>
    <row r="24" spans="1:10" x14ac:dyDescent="0.45">
      <c r="A24" s="3" t="s">
        <v>164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45">
      <c r="A25" s="6" t="s">
        <v>165</v>
      </c>
      <c r="B25" s="6" t="s">
        <v>166</v>
      </c>
      <c r="C25" s="6" t="s">
        <v>167</v>
      </c>
      <c r="D25" s="6" t="s">
        <v>168</v>
      </c>
      <c r="E25" s="6" t="s">
        <v>169</v>
      </c>
      <c r="F25" s="6" t="s">
        <v>170</v>
      </c>
      <c r="G25" s="6" t="s">
        <v>171</v>
      </c>
      <c r="H25" s="6" t="s">
        <v>172</v>
      </c>
      <c r="I25" s="6" t="s">
        <v>173</v>
      </c>
      <c r="J25" s="6" t="s">
        <v>174</v>
      </c>
    </row>
    <row r="26" spans="1:10" x14ac:dyDescent="0.45">
      <c r="A26" s="10">
        <v>1</v>
      </c>
      <c r="B26" s="13">
        <f t="shared" ref="B26:B65" si="3">1+0.1*(A26-1)</f>
        <v>1</v>
      </c>
      <c r="C26" s="12">
        <f t="shared" ref="C26:C65" si="4">ROUND(35*B26,0)</f>
        <v>35</v>
      </c>
      <c r="D26" s="12">
        <f t="shared" ref="D26:D65" si="5">ROUND(100*B26,0)</f>
        <v>100</v>
      </c>
      <c r="E26" s="12">
        <f t="shared" ref="E26:E65" si="6">ROUND(25*B26,0)</f>
        <v>25</v>
      </c>
      <c r="F26" s="12">
        <f t="shared" ref="F26:F65" si="7">ROUND(50*B26,0)</f>
        <v>50</v>
      </c>
      <c r="G26" s="12">
        <f t="shared" ref="G26:G65" si="8">ROUND(12*B26,0)</f>
        <v>12</v>
      </c>
      <c r="H26" s="12">
        <f t="shared" ref="H26:H65" si="9">ROUND(25*B26,0)</f>
        <v>25</v>
      </c>
      <c r="I26" s="12">
        <f t="shared" ref="I26:I65" si="10">ROUND(10*B26,0)</f>
        <v>10</v>
      </c>
      <c r="J26" s="12">
        <f t="shared" ref="J26:J65" si="11">ROUND(15*B26,0)</f>
        <v>15</v>
      </c>
    </row>
    <row r="27" spans="1:10" x14ac:dyDescent="0.45">
      <c r="A27" s="10">
        <v>2</v>
      </c>
      <c r="B27" s="13">
        <f t="shared" si="3"/>
        <v>1.1000000000000001</v>
      </c>
      <c r="C27" s="12">
        <f t="shared" si="4"/>
        <v>39</v>
      </c>
      <c r="D27" s="12">
        <f t="shared" si="5"/>
        <v>110</v>
      </c>
      <c r="E27" s="12">
        <f t="shared" si="6"/>
        <v>28</v>
      </c>
      <c r="F27" s="12">
        <f t="shared" si="7"/>
        <v>55</v>
      </c>
      <c r="G27" s="12">
        <f t="shared" si="8"/>
        <v>13</v>
      </c>
      <c r="H27" s="12">
        <f t="shared" si="9"/>
        <v>28</v>
      </c>
      <c r="I27" s="12">
        <f t="shared" si="10"/>
        <v>11</v>
      </c>
      <c r="J27" s="12">
        <f t="shared" si="11"/>
        <v>17</v>
      </c>
    </row>
    <row r="28" spans="1:10" x14ac:dyDescent="0.45">
      <c r="A28" s="10">
        <v>3</v>
      </c>
      <c r="B28" s="13">
        <f t="shared" si="3"/>
        <v>1.2</v>
      </c>
      <c r="C28" s="12">
        <f t="shared" si="4"/>
        <v>42</v>
      </c>
      <c r="D28" s="12">
        <f t="shared" si="5"/>
        <v>120</v>
      </c>
      <c r="E28" s="12">
        <f t="shared" si="6"/>
        <v>30</v>
      </c>
      <c r="F28" s="12">
        <f t="shared" si="7"/>
        <v>60</v>
      </c>
      <c r="G28" s="12">
        <f t="shared" si="8"/>
        <v>14</v>
      </c>
      <c r="H28" s="12">
        <f t="shared" si="9"/>
        <v>30</v>
      </c>
      <c r="I28" s="12">
        <f t="shared" si="10"/>
        <v>12</v>
      </c>
      <c r="J28" s="12">
        <f t="shared" si="11"/>
        <v>18</v>
      </c>
    </row>
    <row r="29" spans="1:10" x14ac:dyDescent="0.45">
      <c r="A29" s="10">
        <v>4</v>
      </c>
      <c r="B29" s="13">
        <f t="shared" si="3"/>
        <v>1.3</v>
      </c>
      <c r="C29" s="12">
        <f t="shared" si="4"/>
        <v>46</v>
      </c>
      <c r="D29" s="12">
        <f t="shared" si="5"/>
        <v>130</v>
      </c>
      <c r="E29" s="12">
        <f t="shared" si="6"/>
        <v>33</v>
      </c>
      <c r="F29" s="12">
        <f t="shared" si="7"/>
        <v>65</v>
      </c>
      <c r="G29" s="12">
        <f t="shared" si="8"/>
        <v>16</v>
      </c>
      <c r="H29" s="12">
        <f t="shared" si="9"/>
        <v>33</v>
      </c>
      <c r="I29" s="12">
        <f t="shared" si="10"/>
        <v>13</v>
      </c>
      <c r="J29" s="12">
        <f t="shared" si="11"/>
        <v>20</v>
      </c>
    </row>
    <row r="30" spans="1:10" x14ac:dyDescent="0.45">
      <c r="A30" s="10">
        <v>5</v>
      </c>
      <c r="B30" s="13">
        <f t="shared" si="3"/>
        <v>1.4</v>
      </c>
      <c r="C30" s="12">
        <f t="shared" si="4"/>
        <v>49</v>
      </c>
      <c r="D30" s="12">
        <f t="shared" si="5"/>
        <v>140</v>
      </c>
      <c r="E30" s="12">
        <f t="shared" si="6"/>
        <v>35</v>
      </c>
      <c r="F30" s="12">
        <f t="shared" si="7"/>
        <v>70</v>
      </c>
      <c r="G30" s="12">
        <f t="shared" si="8"/>
        <v>17</v>
      </c>
      <c r="H30" s="12">
        <f t="shared" si="9"/>
        <v>35</v>
      </c>
      <c r="I30" s="12">
        <f t="shared" si="10"/>
        <v>14</v>
      </c>
      <c r="J30" s="12">
        <f t="shared" si="11"/>
        <v>21</v>
      </c>
    </row>
    <row r="31" spans="1:10" x14ac:dyDescent="0.45">
      <c r="A31" s="10">
        <v>6</v>
      </c>
      <c r="B31" s="13">
        <f t="shared" si="3"/>
        <v>1.5</v>
      </c>
      <c r="C31" s="12">
        <f t="shared" si="4"/>
        <v>53</v>
      </c>
      <c r="D31" s="12">
        <f t="shared" si="5"/>
        <v>150</v>
      </c>
      <c r="E31" s="12">
        <f t="shared" si="6"/>
        <v>38</v>
      </c>
      <c r="F31" s="12">
        <f t="shared" si="7"/>
        <v>75</v>
      </c>
      <c r="G31" s="12">
        <f t="shared" si="8"/>
        <v>18</v>
      </c>
      <c r="H31" s="12">
        <f t="shared" si="9"/>
        <v>38</v>
      </c>
      <c r="I31" s="12">
        <f t="shared" si="10"/>
        <v>15</v>
      </c>
      <c r="J31" s="12">
        <f t="shared" si="11"/>
        <v>23</v>
      </c>
    </row>
    <row r="32" spans="1:10" x14ac:dyDescent="0.45">
      <c r="A32" s="10">
        <v>7</v>
      </c>
      <c r="B32" s="13">
        <f t="shared" si="3"/>
        <v>1.6</v>
      </c>
      <c r="C32" s="12">
        <f t="shared" si="4"/>
        <v>56</v>
      </c>
      <c r="D32" s="12">
        <f t="shared" si="5"/>
        <v>160</v>
      </c>
      <c r="E32" s="12">
        <f t="shared" si="6"/>
        <v>40</v>
      </c>
      <c r="F32" s="12">
        <f t="shared" si="7"/>
        <v>80</v>
      </c>
      <c r="G32" s="12">
        <f t="shared" si="8"/>
        <v>19</v>
      </c>
      <c r="H32" s="12">
        <f t="shared" si="9"/>
        <v>40</v>
      </c>
      <c r="I32" s="12">
        <f t="shared" si="10"/>
        <v>16</v>
      </c>
      <c r="J32" s="12">
        <f t="shared" si="11"/>
        <v>24</v>
      </c>
    </row>
    <row r="33" spans="1:10" x14ac:dyDescent="0.45">
      <c r="A33" s="10">
        <v>8</v>
      </c>
      <c r="B33" s="13">
        <f t="shared" si="3"/>
        <v>1.7000000000000002</v>
      </c>
      <c r="C33" s="12">
        <f t="shared" si="4"/>
        <v>60</v>
      </c>
      <c r="D33" s="12">
        <f t="shared" si="5"/>
        <v>170</v>
      </c>
      <c r="E33" s="12">
        <f t="shared" si="6"/>
        <v>43</v>
      </c>
      <c r="F33" s="12">
        <f t="shared" si="7"/>
        <v>85</v>
      </c>
      <c r="G33" s="12">
        <f t="shared" si="8"/>
        <v>20</v>
      </c>
      <c r="H33" s="12">
        <f t="shared" si="9"/>
        <v>43</v>
      </c>
      <c r="I33" s="12">
        <f t="shared" si="10"/>
        <v>17</v>
      </c>
      <c r="J33" s="12">
        <f t="shared" si="11"/>
        <v>26</v>
      </c>
    </row>
    <row r="34" spans="1:10" x14ac:dyDescent="0.45">
      <c r="A34" s="10">
        <v>9</v>
      </c>
      <c r="B34" s="13">
        <f t="shared" si="3"/>
        <v>1.8</v>
      </c>
      <c r="C34" s="12">
        <f t="shared" si="4"/>
        <v>63</v>
      </c>
      <c r="D34" s="12">
        <f t="shared" si="5"/>
        <v>180</v>
      </c>
      <c r="E34" s="12">
        <f t="shared" si="6"/>
        <v>45</v>
      </c>
      <c r="F34" s="12">
        <f t="shared" si="7"/>
        <v>90</v>
      </c>
      <c r="G34" s="12">
        <f t="shared" si="8"/>
        <v>22</v>
      </c>
      <c r="H34" s="12">
        <f t="shared" si="9"/>
        <v>45</v>
      </c>
      <c r="I34" s="12">
        <f t="shared" si="10"/>
        <v>18</v>
      </c>
      <c r="J34" s="12">
        <f t="shared" si="11"/>
        <v>27</v>
      </c>
    </row>
    <row r="35" spans="1:10" x14ac:dyDescent="0.45">
      <c r="A35" s="10">
        <v>10</v>
      </c>
      <c r="B35" s="13">
        <f t="shared" si="3"/>
        <v>1.9</v>
      </c>
      <c r="C35" s="12">
        <f t="shared" si="4"/>
        <v>67</v>
      </c>
      <c r="D35" s="12">
        <f t="shared" si="5"/>
        <v>190</v>
      </c>
      <c r="E35" s="12">
        <f t="shared" si="6"/>
        <v>48</v>
      </c>
      <c r="F35" s="12">
        <f t="shared" si="7"/>
        <v>95</v>
      </c>
      <c r="G35" s="12">
        <f t="shared" si="8"/>
        <v>23</v>
      </c>
      <c r="H35" s="12">
        <f t="shared" si="9"/>
        <v>48</v>
      </c>
      <c r="I35" s="12">
        <f t="shared" si="10"/>
        <v>19</v>
      </c>
      <c r="J35" s="12">
        <f t="shared" si="11"/>
        <v>29</v>
      </c>
    </row>
    <row r="36" spans="1:10" x14ac:dyDescent="0.45">
      <c r="A36" s="10">
        <v>11</v>
      </c>
      <c r="B36" s="13">
        <f t="shared" si="3"/>
        <v>2</v>
      </c>
      <c r="C36" s="12">
        <f t="shared" si="4"/>
        <v>70</v>
      </c>
      <c r="D36" s="12">
        <f t="shared" si="5"/>
        <v>200</v>
      </c>
      <c r="E36" s="12">
        <f t="shared" si="6"/>
        <v>50</v>
      </c>
      <c r="F36" s="12">
        <f t="shared" si="7"/>
        <v>100</v>
      </c>
      <c r="G36" s="12">
        <f t="shared" si="8"/>
        <v>24</v>
      </c>
      <c r="H36" s="12">
        <f t="shared" si="9"/>
        <v>50</v>
      </c>
      <c r="I36" s="12">
        <f t="shared" si="10"/>
        <v>20</v>
      </c>
      <c r="J36" s="12">
        <f t="shared" si="11"/>
        <v>30</v>
      </c>
    </row>
    <row r="37" spans="1:10" x14ac:dyDescent="0.45">
      <c r="A37" s="10">
        <v>12</v>
      </c>
      <c r="B37" s="13">
        <f t="shared" si="3"/>
        <v>2.1</v>
      </c>
      <c r="C37" s="12">
        <f t="shared" si="4"/>
        <v>74</v>
      </c>
      <c r="D37" s="12">
        <f t="shared" si="5"/>
        <v>210</v>
      </c>
      <c r="E37" s="12">
        <f t="shared" si="6"/>
        <v>53</v>
      </c>
      <c r="F37" s="12">
        <f t="shared" si="7"/>
        <v>105</v>
      </c>
      <c r="G37" s="12">
        <f t="shared" si="8"/>
        <v>25</v>
      </c>
      <c r="H37" s="12">
        <f t="shared" si="9"/>
        <v>53</v>
      </c>
      <c r="I37" s="12">
        <f t="shared" si="10"/>
        <v>21</v>
      </c>
      <c r="J37" s="12">
        <f t="shared" si="11"/>
        <v>32</v>
      </c>
    </row>
    <row r="38" spans="1:10" x14ac:dyDescent="0.45">
      <c r="A38" s="10">
        <v>13</v>
      </c>
      <c r="B38" s="13">
        <f t="shared" si="3"/>
        <v>2.2000000000000002</v>
      </c>
      <c r="C38" s="12">
        <f t="shared" si="4"/>
        <v>77</v>
      </c>
      <c r="D38" s="12">
        <f t="shared" si="5"/>
        <v>220</v>
      </c>
      <c r="E38" s="12">
        <f t="shared" si="6"/>
        <v>55</v>
      </c>
      <c r="F38" s="12">
        <f t="shared" si="7"/>
        <v>110</v>
      </c>
      <c r="G38" s="12">
        <f t="shared" si="8"/>
        <v>26</v>
      </c>
      <c r="H38" s="12">
        <f t="shared" si="9"/>
        <v>55</v>
      </c>
      <c r="I38" s="12">
        <f t="shared" si="10"/>
        <v>22</v>
      </c>
      <c r="J38" s="12">
        <f t="shared" si="11"/>
        <v>33</v>
      </c>
    </row>
    <row r="39" spans="1:10" x14ac:dyDescent="0.45">
      <c r="A39" s="10">
        <v>14</v>
      </c>
      <c r="B39" s="13">
        <f t="shared" si="3"/>
        <v>2.2999999999999998</v>
      </c>
      <c r="C39" s="12">
        <f t="shared" si="4"/>
        <v>81</v>
      </c>
      <c r="D39" s="12">
        <f t="shared" si="5"/>
        <v>230</v>
      </c>
      <c r="E39" s="12">
        <f t="shared" si="6"/>
        <v>58</v>
      </c>
      <c r="F39" s="12">
        <f t="shared" si="7"/>
        <v>115</v>
      </c>
      <c r="G39" s="12">
        <f t="shared" si="8"/>
        <v>28</v>
      </c>
      <c r="H39" s="12">
        <f t="shared" si="9"/>
        <v>58</v>
      </c>
      <c r="I39" s="12">
        <f t="shared" si="10"/>
        <v>23</v>
      </c>
      <c r="J39" s="12">
        <f t="shared" si="11"/>
        <v>35</v>
      </c>
    </row>
    <row r="40" spans="1:10" x14ac:dyDescent="0.45">
      <c r="A40" s="10">
        <v>15</v>
      </c>
      <c r="B40" s="13">
        <f t="shared" si="3"/>
        <v>2.4000000000000004</v>
      </c>
      <c r="C40" s="12">
        <f t="shared" si="4"/>
        <v>84</v>
      </c>
      <c r="D40" s="12">
        <f t="shared" si="5"/>
        <v>240</v>
      </c>
      <c r="E40" s="12">
        <f t="shared" si="6"/>
        <v>60</v>
      </c>
      <c r="F40" s="12">
        <f t="shared" si="7"/>
        <v>120</v>
      </c>
      <c r="G40" s="12">
        <f t="shared" si="8"/>
        <v>29</v>
      </c>
      <c r="H40" s="12">
        <f t="shared" si="9"/>
        <v>60</v>
      </c>
      <c r="I40" s="12">
        <f t="shared" si="10"/>
        <v>24</v>
      </c>
      <c r="J40" s="12">
        <f t="shared" si="11"/>
        <v>36</v>
      </c>
    </row>
    <row r="41" spans="1:10" x14ac:dyDescent="0.45">
      <c r="A41" s="10">
        <v>16</v>
      </c>
      <c r="B41" s="13">
        <f t="shared" si="3"/>
        <v>2.5</v>
      </c>
      <c r="C41" s="12">
        <f t="shared" si="4"/>
        <v>88</v>
      </c>
      <c r="D41" s="12">
        <f t="shared" si="5"/>
        <v>250</v>
      </c>
      <c r="E41" s="12">
        <f t="shared" si="6"/>
        <v>63</v>
      </c>
      <c r="F41" s="12">
        <f t="shared" si="7"/>
        <v>125</v>
      </c>
      <c r="G41" s="12">
        <f t="shared" si="8"/>
        <v>30</v>
      </c>
      <c r="H41" s="12">
        <f t="shared" si="9"/>
        <v>63</v>
      </c>
      <c r="I41" s="12">
        <f t="shared" si="10"/>
        <v>25</v>
      </c>
      <c r="J41" s="12">
        <f t="shared" si="11"/>
        <v>38</v>
      </c>
    </row>
    <row r="42" spans="1:10" x14ac:dyDescent="0.45">
      <c r="A42" s="10">
        <v>17</v>
      </c>
      <c r="B42" s="13">
        <f t="shared" si="3"/>
        <v>2.6</v>
      </c>
      <c r="C42" s="12">
        <f t="shared" si="4"/>
        <v>91</v>
      </c>
      <c r="D42" s="12">
        <f t="shared" si="5"/>
        <v>260</v>
      </c>
      <c r="E42" s="12">
        <f t="shared" si="6"/>
        <v>65</v>
      </c>
      <c r="F42" s="12">
        <f t="shared" si="7"/>
        <v>130</v>
      </c>
      <c r="G42" s="12">
        <f t="shared" si="8"/>
        <v>31</v>
      </c>
      <c r="H42" s="12">
        <f t="shared" si="9"/>
        <v>65</v>
      </c>
      <c r="I42" s="12">
        <f t="shared" si="10"/>
        <v>26</v>
      </c>
      <c r="J42" s="12">
        <f t="shared" si="11"/>
        <v>39</v>
      </c>
    </row>
    <row r="43" spans="1:10" x14ac:dyDescent="0.45">
      <c r="A43" s="10">
        <v>18</v>
      </c>
      <c r="B43" s="13">
        <f t="shared" si="3"/>
        <v>2.7</v>
      </c>
      <c r="C43" s="12">
        <f t="shared" si="4"/>
        <v>95</v>
      </c>
      <c r="D43" s="12">
        <f t="shared" si="5"/>
        <v>270</v>
      </c>
      <c r="E43" s="12">
        <f t="shared" si="6"/>
        <v>68</v>
      </c>
      <c r="F43" s="12">
        <f t="shared" si="7"/>
        <v>135</v>
      </c>
      <c r="G43" s="12">
        <f t="shared" si="8"/>
        <v>32</v>
      </c>
      <c r="H43" s="12">
        <f t="shared" si="9"/>
        <v>68</v>
      </c>
      <c r="I43" s="12">
        <f t="shared" si="10"/>
        <v>27</v>
      </c>
      <c r="J43" s="12">
        <f t="shared" si="11"/>
        <v>41</v>
      </c>
    </row>
    <row r="44" spans="1:10" x14ac:dyDescent="0.45">
      <c r="A44" s="10">
        <v>19</v>
      </c>
      <c r="B44" s="13">
        <f t="shared" si="3"/>
        <v>2.8</v>
      </c>
      <c r="C44" s="12">
        <f t="shared" si="4"/>
        <v>98</v>
      </c>
      <c r="D44" s="12">
        <f t="shared" si="5"/>
        <v>280</v>
      </c>
      <c r="E44" s="12">
        <f t="shared" si="6"/>
        <v>70</v>
      </c>
      <c r="F44" s="12">
        <f t="shared" si="7"/>
        <v>140</v>
      </c>
      <c r="G44" s="12">
        <f t="shared" si="8"/>
        <v>34</v>
      </c>
      <c r="H44" s="12">
        <f t="shared" si="9"/>
        <v>70</v>
      </c>
      <c r="I44" s="12">
        <f t="shared" si="10"/>
        <v>28</v>
      </c>
      <c r="J44" s="12">
        <f t="shared" si="11"/>
        <v>42</v>
      </c>
    </row>
    <row r="45" spans="1:10" x14ac:dyDescent="0.45">
      <c r="A45" s="10">
        <v>20</v>
      </c>
      <c r="B45" s="13">
        <f t="shared" si="3"/>
        <v>2.9000000000000004</v>
      </c>
      <c r="C45" s="12">
        <f t="shared" si="4"/>
        <v>102</v>
      </c>
      <c r="D45" s="12">
        <f t="shared" si="5"/>
        <v>290</v>
      </c>
      <c r="E45" s="12">
        <f t="shared" si="6"/>
        <v>73</v>
      </c>
      <c r="F45" s="12">
        <f t="shared" si="7"/>
        <v>145</v>
      </c>
      <c r="G45" s="12">
        <f t="shared" si="8"/>
        <v>35</v>
      </c>
      <c r="H45" s="12">
        <f t="shared" si="9"/>
        <v>73</v>
      </c>
      <c r="I45" s="12">
        <f t="shared" si="10"/>
        <v>29</v>
      </c>
      <c r="J45" s="12">
        <f t="shared" si="11"/>
        <v>44</v>
      </c>
    </row>
    <row r="46" spans="1:10" x14ac:dyDescent="0.45">
      <c r="A46" s="10">
        <v>21</v>
      </c>
      <c r="B46" s="13">
        <f t="shared" si="3"/>
        <v>3</v>
      </c>
      <c r="C46" s="12">
        <f t="shared" si="4"/>
        <v>105</v>
      </c>
      <c r="D46" s="12">
        <f t="shared" si="5"/>
        <v>300</v>
      </c>
      <c r="E46" s="12">
        <f t="shared" si="6"/>
        <v>75</v>
      </c>
      <c r="F46" s="12">
        <f t="shared" si="7"/>
        <v>150</v>
      </c>
      <c r="G46" s="12">
        <f t="shared" si="8"/>
        <v>36</v>
      </c>
      <c r="H46" s="12">
        <f t="shared" si="9"/>
        <v>75</v>
      </c>
      <c r="I46" s="12">
        <f t="shared" si="10"/>
        <v>30</v>
      </c>
      <c r="J46" s="12">
        <f t="shared" si="11"/>
        <v>45</v>
      </c>
    </row>
    <row r="47" spans="1:10" x14ac:dyDescent="0.45">
      <c r="A47" s="10">
        <v>22</v>
      </c>
      <c r="B47" s="13">
        <f t="shared" si="3"/>
        <v>3.1</v>
      </c>
      <c r="C47" s="12">
        <f t="shared" si="4"/>
        <v>109</v>
      </c>
      <c r="D47" s="12">
        <f t="shared" si="5"/>
        <v>310</v>
      </c>
      <c r="E47" s="12">
        <f t="shared" si="6"/>
        <v>78</v>
      </c>
      <c r="F47" s="12">
        <f t="shared" si="7"/>
        <v>155</v>
      </c>
      <c r="G47" s="12">
        <f t="shared" si="8"/>
        <v>37</v>
      </c>
      <c r="H47" s="12">
        <f t="shared" si="9"/>
        <v>78</v>
      </c>
      <c r="I47" s="12">
        <f t="shared" si="10"/>
        <v>31</v>
      </c>
      <c r="J47" s="12">
        <f t="shared" si="11"/>
        <v>47</v>
      </c>
    </row>
    <row r="48" spans="1:10" x14ac:dyDescent="0.45">
      <c r="A48" s="10">
        <v>23</v>
      </c>
      <c r="B48" s="13">
        <f t="shared" si="3"/>
        <v>3.2</v>
      </c>
      <c r="C48" s="12">
        <f t="shared" si="4"/>
        <v>112</v>
      </c>
      <c r="D48" s="12">
        <f t="shared" si="5"/>
        <v>320</v>
      </c>
      <c r="E48" s="12">
        <f t="shared" si="6"/>
        <v>80</v>
      </c>
      <c r="F48" s="12">
        <f t="shared" si="7"/>
        <v>160</v>
      </c>
      <c r="G48" s="12">
        <f t="shared" si="8"/>
        <v>38</v>
      </c>
      <c r="H48" s="12">
        <f t="shared" si="9"/>
        <v>80</v>
      </c>
      <c r="I48" s="12">
        <f t="shared" si="10"/>
        <v>32</v>
      </c>
      <c r="J48" s="12">
        <f t="shared" si="11"/>
        <v>48</v>
      </c>
    </row>
    <row r="49" spans="1:10" x14ac:dyDescent="0.45">
      <c r="A49" s="10">
        <v>24</v>
      </c>
      <c r="B49" s="13">
        <f t="shared" si="3"/>
        <v>3.3000000000000003</v>
      </c>
      <c r="C49" s="12">
        <f t="shared" si="4"/>
        <v>116</v>
      </c>
      <c r="D49" s="12">
        <f t="shared" si="5"/>
        <v>330</v>
      </c>
      <c r="E49" s="12">
        <f t="shared" si="6"/>
        <v>83</v>
      </c>
      <c r="F49" s="12">
        <f t="shared" si="7"/>
        <v>165</v>
      </c>
      <c r="G49" s="12">
        <f t="shared" si="8"/>
        <v>40</v>
      </c>
      <c r="H49" s="12">
        <f t="shared" si="9"/>
        <v>83</v>
      </c>
      <c r="I49" s="12">
        <f t="shared" si="10"/>
        <v>33</v>
      </c>
      <c r="J49" s="12">
        <f t="shared" si="11"/>
        <v>50</v>
      </c>
    </row>
    <row r="50" spans="1:10" x14ac:dyDescent="0.45">
      <c r="A50" s="10">
        <v>25</v>
      </c>
      <c r="B50" s="13">
        <f t="shared" si="3"/>
        <v>3.4000000000000004</v>
      </c>
      <c r="C50" s="12">
        <f t="shared" si="4"/>
        <v>119</v>
      </c>
      <c r="D50" s="12">
        <f t="shared" si="5"/>
        <v>340</v>
      </c>
      <c r="E50" s="12">
        <f t="shared" si="6"/>
        <v>85</v>
      </c>
      <c r="F50" s="12">
        <f t="shared" si="7"/>
        <v>170</v>
      </c>
      <c r="G50" s="12">
        <f t="shared" si="8"/>
        <v>41</v>
      </c>
      <c r="H50" s="12">
        <f t="shared" si="9"/>
        <v>85</v>
      </c>
      <c r="I50" s="12">
        <f t="shared" si="10"/>
        <v>34</v>
      </c>
      <c r="J50" s="12">
        <f t="shared" si="11"/>
        <v>51</v>
      </c>
    </row>
    <row r="51" spans="1:10" x14ac:dyDescent="0.45">
      <c r="A51" s="10">
        <v>26</v>
      </c>
      <c r="B51" s="13">
        <f t="shared" si="3"/>
        <v>3.5</v>
      </c>
      <c r="C51" s="12">
        <f t="shared" si="4"/>
        <v>123</v>
      </c>
      <c r="D51" s="12">
        <f t="shared" si="5"/>
        <v>350</v>
      </c>
      <c r="E51" s="12">
        <f t="shared" si="6"/>
        <v>88</v>
      </c>
      <c r="F51" s="12">
        <f t="shared" si="7"/>
        <v>175</v>
      </c>
      <c r="G51" s="12">
        <f t="shared" si="8"/>
        <v>42</v>
      </c>
      <c r="H51" s="12">
        <f t="shared" si="9"/>
        <v>88</v>
      </c>
      <c r="I51" s="12">
        <f t="shared" si="10"/>
        <v>35</v>
      </c>
      <c r="J51" s="12">
        <f t="shared" si="11"/>
        <v>53</v>
      </c>
    </row>
    <row r="52" spans="1:10" x14ac:dyDescent="0.45">
      <c r="A52" s="10">
        <v>27</v>
      </c>
      <c r="B52" s="13">
        <f t="shared" si="3"/>
        <v>3.6</v>
      </c>
      <c r="C52" s="12">
        <f t="shared" si="4"/>
        <v>126</v>
      </c>
      <c r="D52" s="12">
        <f t="shared" si="5"/>
        <v>360</v>
      </c>
      <c r="E52" s="12">
        <f t="shared" si="6"/>
        <v>90</v>
      </c>
      <c r="F52" s="12">
        <f t="shared" si="7"/>
        <v>180</v>
      </c>
      <c r="G52" s="12">
        <f t="shared" si="8"/>
        <v>43</v>
      </c>
      <c r="H52" s="12">
        <f t="shared" si="9"/>
        <v>90</v>
      </c>
      <c r="I52" s="12">
        <f t="shared" si="10"/>
        <v>36</v>
      </c>
      <c r="J52" s="12">
        <f t="shared" si="11"/>
        <v>54</v>
      </c>
    </row>
    <row r="53" spans="1:10" x14ac:dyDescent="0.45">
      <c r="A53" s="10">
        <v>28</v>
      </c>
      <c r="B53" s="13">
        <f t="shared" si="3"/>
        <v>3.7</v>
      </c>
      <c r="C53" s="12">
        <f t="shared" si="4"/>
        <v>130</v>
      </c>
      <c r="D53" s="12">
        <f t="shared" si="5"/>
        <v>370</v>
      </c>
      <c r="E53" s="12">
        <f t="shared" si="6"/>
        <v>93</v>
      </c>
      <c r="F53" s="12">
        <f t="shared" si="7"/>
        <v>185</v>
      </c>
      <c r="G53" s="12">
        <f t="shared" si="8"/>
        <v>44</v>
      </c>
      <c r="H53" s="12">
        <f t="shared" si="9"/>
        <v>93</v>
      </c>
      <c r="I53" s="12">
        <f t="shared" si="10"/>
        <v>37</v>
      </c>
      <c r="J53" s="12">
        <f t="shared" si="11"/>
        <v>56</v>
      </c>
    </row>
    <row r="54" spans="1:10" x14ac:dyDescent="0.45">
      <c r="A54" s="10">
        <v>29</v>
      </c>
      <c r="B54" s="13">
        <f t="shared" si="3"/>
        <v>3.8000000000000003</v>
      </c>
      <c r="C54" s="12">
        <f t="shared" si="4"/>
        <v>133</v>
      </c>
      <c r="D54" s="12">
        <f t="shared" si="5"/>
        <v>380</v>
      </c>
      <c r="E54" s="12">
        <f t="shared" si="6"/>
        <v>95</v>
      </c>
      <c r="F54" s="12">
        <f t="shared" si="7"/>
        <v>190</v>
      </c>
      <c r="G54" s="12">
        <f t="shared" si="8"/>
        <v>46</v>
      </c>
      <c r="H54" s="12">
        <f t="shared" si="9"/>
        <v>95</v>
      </c>
      <c r="I54" s="12">
        <f t="shared" si="10"/>
        <v>38</v>
      </c>
      <c r="J54" s="12">
        <f t="shared" si="11"/>
        <v>57</v>
      </c>
    </row>
    <row r="55" spans="1:10" x14ac:dyDescent="0.45">
      <c r="A55" s="10">
        <v>30</v>
      </c>
      <c r="B55" s="13">
        <f t="shared" si="3"/>
        <v>3.9000000000000004</v>
      </c>
      <c r="C55" s="12">
        <f t="shared" si="4"/>
        <v>137</v>
      </c>
      <c r="D55" s="12">
        <f t="shared" si="5"/>
        <v>390</v>
      </c>
      <c r="E55" s="12">
        <f t="shared" si="6"/>
        <v>98</v>
      </c>
      <c r="F55" s="12">
        <f t="shared" si="7"/>
        <v>195</v>
      </c>
      <c r="G55" s="12">
        <f t="shared" si="8"/>
        <v>47</v>
      </c>
      <c r="H55" s="12">
        <f t="shared" si="9"/>
        <v>98</v>
      </c>
      <c r="I55" s="12">
        <f t="shared" si="10"/>
        <v>39</v>
      </c>
      <c r="J55" s="12">
        <f t="shared" si="11"/>
        <v>59</v>
      </c>
    </row>
    <row r="56" spans="1:10" x14ac:dyDescent="0.45">
      <c r="A56" s="10">
        <v>31</v>
      </c>
      <c r="B56" s="13">
        <f t="shared" si="3"/>
        <v>4</v>
      </c>
      <c r="C56" s="12">
        <f t="shared" si="4"/>
        <v>140</v>
      </c>
      <c r="D56" s="12">
        <f t="shared" si="5"/>
        <v>400</v>
      </c>
      <c r="E56" s="12">
        <f t="shared" si="6"/>
        <v>100</v>
      </c>
      <c r="F56" s="12">
        <f t="shared" si="7"/>
        <v>200</v>
      </c>
      <c r="G56" s="12">
        <f t="shared" si="8"/>
        <v>48</v>
      </c>
      <c r="H56" s="12">
        <f t="shared" si="9"/>
        <v>100</v>
      </c>
      <c r="I56" s="12">
        <f t="shared" si="10"/>
        <v>40</v>
      </c>
      <c r="J56" s="12">
        <f t="shared" si="11"/>
        <v>60</v>
      </c>
    </row>
    <row r="57" spans="1:10" x14ac:dyDescent="0.45">
      <c r="A57" s="10">
        <v>32</v>
      </c>
      <c r="B57" s="13">
        <f t="shared" si="3"/>
        <v>4.0999999999999996</v>
      </c>
      <c r="C57" s="12">
        <f t="shared" si="4"/>
        <v>144</v>
      </c>
      <c r="D57" s="12">
        <f t="shared" si="5"/>
        <v>410</v>
      </c>
      <c r="E57" s="12">
        <f t="shared" si="6"/>
        <v>103</v>
      </c>
      <c r="F57" s="12">
        <f t="shared" si="7"/>
        <v>205</v>
      </c>
      <c r="G57" s="12">
        <f t="shared" si="8"/>
        <v>49</v>
      </c>
      <c r="H57" s="12">
        <f t="shared" si="9"/>
        <v>103</v>
      </c>
      <c r="I57" s="12">
        <f t="shared" si="10"/>
        <v>41</v>
      </c>
      <c r="J57" s="12">
        <f t="shared" si="11"/>
        <v>62</v>
      </c>
    </row>
    <row r="58" spans="1:10" x14ac:dyDescent="0.45">
      <c r="A58" s="10">
        <v>33</v>
      </c>
      <c r="B58" s="13">
        <f t="shared" si="3"/>
        <v>4.2</v>
      </c>
      <c r="C58" s="12">
        <f t="shared" si="4"/>
        <v>147</v>
      </c>
      <c r="D58" s="12">
        <f t="shared" si="5"/>
        <v>420</v>
      </c>
      <c r="E58" s="12">
        <f t="shared" si="6"/>
        <v>105</v>
      </c>
      <c r="F58" s="12">
        <f t="shared" si="7"/>
        <v>210</v>
      </c>
      <c r="G58" s="12">
        <f t="shared" si="8"/>
        <v>50</v>
      </c>
      <c r="H58" s="12">
        <f t="shared" si="9"/>
        <v>105</v>
      </c>
      <c r="I58" s="12">
        <f t="shared" si="10"/>
        <v>42</v>
      </c>
      <c r="J58" s="12">
        <f t="shared" si="11"/>
        <v>63</v>
      </c>
    </row>
    <row r="59" spans="1:10" x14ac:dyDescent="0.45">
      <c r="A59" s="10">
        <v>34</v>
      </c>
      <c r="B59" s="13">
        <f t="shared" si="3"/>
        <v>4.3000000000000007</v>
      </c>
      <c r="C59" s="12">
        <f t="shared" si="4"/>
        <v>151</v>
      </c>
      <c r="D59" s="12">
        <f t="shared" si="5"/>
        <v>430</v>
      </c>
      <c r="E59" s="12">
        <f t="shared" si="6"/>
        <v>108</v>
      </c>
      <c r="F59" s="12">
        <f t="shared" si="7"/>
        <v>215</v>
      </c>
      <c r="G59" s="12">
        <f t="shared" si="8"/>
        <v>52</v>
      </c>
      <c r="H59" s="12">
        <f t="shared" si="9"/>
        <v>108</v>
      </c>
      <c r="I59" s="12">
        <f t="shared" si="10"/>
        <v>43</v>
      </c>
      <c r="J59" s="12">
        <f t="shared" si="11"/>
        <v>65</v>
      </c>
    </row>
    <row r="60" spans="1:10" x14ac:dyDescent="0.45">
      <c r="A60" s="10">
        <v>35</v>
      </c>
      <c r="B60" s="13">
        <f t="shared" si="3"/>
        <v>4.4000000000000004</v>
      </c>
      <c r="C60" s="12">
        <f t="shared" si="4"/>
        <v>154</v>
      </c>
      <c r="D60" s="12">
        <f t="shared" si="5"/>
        <v>440</v>
      </c>
      <c r="E60" s="12">
        <f t="shared" si="6"/>
        <v>110</v>
      </c>
      <c r="F60" s="12">
        <f t="shared" si="7"/>
        <v>220</v>
      </c>
      <c r="G60" s="12">
        <f t="shared" si="8"/>
        <v>53</v>
      </c>
      <c r="H60" s="12">
        <f t="shared" si="9"/>
        <v>110</v>
      </c>
      <c r="I60" s="12">
        <f t="shared" si="10"/>
        <v>44</v>
      </c>
      <c r="J60" s="12">
        <f t="shared" si="11"/>
        <v>66</v>
      </c>
    </row>
    <row r="61" spans="1:10" x14ac:dyDescent="0.45">
      <c r="A61" s="10">
        <v>36</v>
      </c>
      <c r="B61" s="13">
        <f t="shared" si="3"/>
        <v>4.5</v>
      </c>
      <c r="C61" s="12">
        <f t="shared" si="4"/>
        <v>158</v>
      </c>
      <c r="D61" s="12">
        <f t="shared" si="5"/>
        <v>450</v>
      </c>
      <c r="E61" s="12">
        <f t="shared" si="6"/>
        <v>113</v>
      </c>
      <c r="F61" s="12">
        <f t="shared" si="7"/>
        <v>225</v>
      </c>
      <c r="G61" s="12">
        <f t="shared" si="8"/>
        <v>54</v>
      </c>
      <c r="H61" s="12">
        <f t="shared" si="9"/>
        <v>113</v>
      </c>
      <c r="I61" s="12">
        <f t="shared" si="10"/>
        <v>45</v>
      </c>
      <c r="J61" s="12">
        <f t="shared" si="11"/>
        <v>68</v>
      </c>
    </row>
    <row r="62" spans="1:10" x14ac:dyDescent="0.45">
      <c r="A62" s="10">
        <v>37</v>
      </c>
      <c r="B62" s="13">
        <f t="shared" si="3"/>
        <v>4.5999999999999996</v>
      </c>
      <c r="C62" s="12">
        <f t="shared" si="4"/>
        <v>161</v>
      </c>
      <c r="D62" s="12">
        <f t="shared" si="5"/>
        <v>460</v>
      </c>
      <c r="E62" s="12">
        <f t="shared" si="6"/>
        <v>115</v>
      </c>
      <c r="F62" s="12">
        <f t="shared" si="7"/>
        <v>230</v>
      </c>
      <c r="G62" s="12">
        <f t="shared" si="8"/>
        <v>55</v>
      </c>
      <c r="H62" s="12">
        <f t="shared" si="9"/>
        <v>115</v>
      </c>
      <c r="I62" s="12">
        <f t="shared" si="10"/>
        <v>46</v>
      </c>
      <c r="J62" s="12">
        <f t="shared" si="11"/>
        <v>69</v>
      </c>
    </row>
    <row r="63" spans="1:10" x14ac:dyDescent="0.45">
      <c r="A63" s="10">
        <v>38</v>
      </c>
      <c r="B63" s="13">
        <f t="shared" si="3"/>
        <v>4.7</v>
      </c>
      <c r="C63" s="12">
        <f t="shared" si="4"/>
        <v>165</v>
      </c>
      <c r="D63" s="12">
        <f t="shared" si="5"/>
        <v>470</v>
      </c>
      <c r="E63" s="12">
        <f t="shared" si="6"/>
        <v>118</v>
      </c>
      <c r="F63" s="12">
        <f t="shared" si="7"/>
        <v>235</v>
      </c>
      <c r="G63" s="12">
        <f t="shared" si="8"/>
        <v>56</v>
      </c>
      <c r="H63" s="12">
        <f t="shared" si="9"/>
        <v>118</v>
      </c>
      <c r="I63" s="12">
        <f t="shared" si="10"/>
        <v>47</v>
      </c>
      <c r="J63" s="12">
        <f t="shared" si="11"/>
        <v>71</v>
      </c>
    </row>
    <row r="64" spans="1:10" x14ac:dyDescent="0.45">
      <c r="A64" s="10">
        <v>39</v>
      </c>
      <c r="B64" s="13">
        <f t="shared" si="3"/>
        <v>4.8000000000000007</v>
      </c>
      <c r="C64" s="12">
        <f t="shared" si="4"/>
        <v>168</v>
      </c>
      <c r="D64" s="12">
        <f t="shared" si="5"/>
        <v>480</v>
      </c>
      <c r="E64" s="12">
        <f t="shared" si="6"/>
        <v>120</v>
      </c>
      <c r="F64" s="12">
        <f t="shared" si="7"/>
        <v>240</v>
      </c>
      <c r="G64" s="12">
        <f t="shared" si="8"/>
        <v>58</v>
      </c>
      <c r="H64" s="12">
        <f t="shared" si="9"/>
        <v>120</v>
      </c>
      <c r="I64" s="12">
        <f t="shared" si="10"/>
        <v>48</v>
      </c>
      <c r="J64" s="12">
        <f t="shared" si="11"/>
        <v>72</v>
      </c>
    </row>
    <row r="65" spans="1:10" x14ac:dyDescent="0.45">
      <c r="A65" s="10">
        <v>40</v>
      </c>
      <c r="B65" s="13">
        <f t="shared" si="3"/>
        <v>4.9000000000000004</v>
      </c>
      <c r="C65" s="12">
        <f t="shared" si="4"/>
        <v>172</v>
      </c>
      <c r="D65" s="12">
        <f t="shared" si="5"/>
        <v>490</v>
      </c>
      <c r="E65" s="12">
        <f t="shared" si="6"/>
        <v>123</v>
      </c>
      <c r="F65" s="12">
        <f t="shared" si="7"/>
        <v>245</v>
      </c>
      <c r="G65" s="12">
        <f t="shared" si="8"/>
        <v>59</v>
      </c>
      <c r="H65" s="12">
        <f t="shared" si="9"/>
        <v>123</v>
      </c>
      <c r="I65" s="12">
        <f t="shared" si="10"/>
        <v>49</v>
      </c>
      <c r="J65" s="12">
        <f t="shared" si="11"/>
        <v>74</v>
      </c>
    </row>
    <row r="67" spans="1:10" x14ac:dyDescent="0.45">
      <c r="A67" s="3" t="s">
        <v>175</v>
      </c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45">
      <c r="A68" s="2" t="s">
        <v>176</v>
      </c>
    </row>
    <row r="69" spans="1:10" x14ac:dyDescent="0.45">
      <c r="A69" s="6" t="s">
        <v>59</v>
      </c>
      <c r="B69" s="6" t="s">
        <v>81</v>
      </c>
      <c r="C69" s="6" t="s">
        <v>177</v>
      </c>
      <c r="D69" s="6" t="s">
        <v>169</v>
      </c>
      <c r="E69" s="6" t="s">
        <v>178</v>
      </c>
      <c r="F69" s="6" t="s">
        <v>167</v>
      </c>
      <c r="G69" s="6" t="s">
        <v>179</v>
      </c>
      <c r="H69" s="6" t="s">
        <v>180</v>
      </c>
      <c r="I69" s="6" t="s">
        <v>181</v>
      </c>
      <c r="J69" s="6" t="s">
        <v>182</v>
      </c>
    </row>
    <row r="70" spans="1:10" x14ac:dyDescent="0.45">
      <c r="A70" s="10">
        <v>1</v>
      </c>
      <c r="B70" s="12">
        <f t="shared" ref="B70:B84" si="12">1+2*(A70-1)</f>
        <v>1</v>
      </c>
      <c r="C70" s="12">
        <f t="shared" ref="C70:C84" si="13">INDEX($B$6:$B$20,MIN(A70,15))</f>
        <v>115</v>
      </c>
      <c r="D70" s="12">
        <f t="shared" ref="D70:D84" si="14">ROUND(25*(1+0.1*(B70-1)),0)</f>
        <v>25</v>
      </c>
      <c r="E70" s="13">
        <f t="shared" ref="E70:E84" si="15">C70/D70</f>
        <v>4.5999999999999996</v>
      </c>
      <c r="F70" s="12">
        <f t="shared" ref="F70:F84" si="16">ROUND(35*(1+0.1*(B70-1)),0)</f>
        <v>35</v>
      </c>
      <c r="G70" s="13">
        <f t="shared" ref="G70:G84" si="17">C70/F70</f>
        <v>3.2857142857142856</v>
      </c>
      <c r="H70" s="12">
        <f t="shared" ref="H70:H84" si="18">ROUND(50*(1+0.1*(B70-1)),0)</f>
        <v>50</v>
      </c>
      <c r="I70" s="13">
        <f t="shared" ref="I70:I84" si="19">C70/H70</f>
        <v>2.2999999999999998</v>
      </c>
      <c r="J70" s="12">
        <f t="shared" ref="J70:J84" si="20">ROUND(100*(1+0.1*(B70-1)),0)</f>
        <v>100</v>
      </c>
    </row>
    <row r="71" spans="1:10" x14ac:dyDescent="0.45">
      <c r="A71" s="10">
        <v>2</v>
      </c>
      <c r="B71" s="12">
        <f t="shared" si="12"/>
        <v>3</v>
      </c>
      <c r="C71" s="12">
        <f t="shared" si="13"/>
        <v>200</v>
      </c>
      <c r="D71" s="12">
        <f t="shared" si="14"/>
        <v>30</v>
      </c>
      <c r="E71" s="13">
        <f t="shared" si="15"/>
        <v>6.666666666666667</v>
      </c>
      <c r="F71" s="12">
        <f t="shared" si="16"/>
        <v>42</v>
      </c>
      <c r="G71" s="13">
        <f t="shared" si="17"/>
        <v>4.7619047619047619</v>
      </c>
      <c r="H71" s="12">
        <f t="shared" si="18"/>
        <v>60</v>
      </c>
      <c r="I71" s="13">
        <f t="shared" si="19"/>
        <v>3.3333333333333335</v>
      </c>
      <c r="J71" s="12">
        <f t="shared" si="20"/>
        <v>120</v>
      </c>
    </row>
    <row r="72" spans="1:10" x14ac:dyDescent="0.45">
      <c r="A72" s="10">
        <v>3</v>
      </c>
      <c r="B72" s="12">
        <f t="shared" si="12"/>
        <v>5</v>
      </c>
      <c r="C72" s="12">
        <f t="shared" si="13"/>
        <v>310</v>
      </c>
      <c r="D72" s="12">
        <f t="shared" si="14"/>
        <v>35</v>
      </c>
      <c r="E72" s="13">
        <f t="shared" si="15"/>
        <v>8.8571428571428577</v>
      </c>
      <c r="F72" s="12">
        <f t="shared" si="16"/>
        <v>49</v>
      </c>
      <c r="G72" s="13">
        <f t="shared" si="17"/>
        <v>6.3265306122448983</v>
      </c>
      <c r="H72" s="12">
        <f t="shared" si="18"/>
        <v>70</v>
      </c>
      <c r="I72" s="13">
        <f t="shared" si="19"/>
        <v>4.4285714285714288</v>
      </c>
      <c r="J72" s="12">
        <f t="shared" si="20"/>
        <v>140</v>
      </c>
    </row>
    <row r="73" spans="1:10" x14ac:dyDescent="0.45">
      <c r="A73" s="10">
        <v>4</v>
      </c>
      <c r="B73" s="12">
        <f t="shared" si="12"/>
        <v>7</v>
      </c>
      <c r="C73" s="12">
        <f t="shared" si="13"/>
        <v>480</v>
      </c>
      <c r="D73" s="12">
        <f t="shared" si="14"/>
        <v>40</v>
      </c>
      <c r="E73" s="13">
        <f t="shared" si="15"/>
        <v>12</v>
      </c>
      <c r="F73" s="12">
        <f t="shared" si="16"/>
        <v>56</v>
      </c>
      <c r="G73" s="13">
        <f t="shared" si="17"/>
        <v>8.5714285714285712</v>
      </c>
      <c r="H73" s="12">
        <f t="shared" si="18"/>
        <v>80</v>
      </c>
      <c r="I73" s="13">
        <f t="shared" si="19"/>
        <v>6</v>
      </c>
      <c r="J73" s="12">
        <f t="shared" si="20"/>
        <v>160</v>
      </c>
    </row>
    <row r="74" spans="1:10" x14ac:dyDescent="0.45">
      <c r="A74" s="10">
        <v>5</v>
      </c>
      <c r="B74" s="12">
        <f t="shared" si="12"/>
        <v>9</v>
      </c>
      <c r="C74" s="12">
        <f t="shared" si="13"/>
        <v>590</v>
      </c>
      <c r="D74" s="12">
        <f t="shared" si="14"/>
        <v>45</v>
      </c>
      <c r="E74" s="13">
        <f t="shared" si="15"/>
        <v>13.111111111111111</v>
      </c>
      <c r="F74" s="12">
        <f t="shared" si="16"/>
        <v>63</v>
      </c>
      <c r="G74" s="13">
        <f t="shared" si="17"/>
        <v>9.3650793650793656</v>
      </c>
      <c r="H74" s="12">
        <f t="shared" si="18"/>
        <v>90</v>
      </c>
      <c r="I74" s="13">
        <f t="shared" si="19"/>
        <v>6.5555555555555554</v>
      </c>
      <c r="J74" s="12">
        <f t="shared" si="20"/>
        <v>180</v>
      </c>
    </row>
    <row r="75" spans="1:10" x14ac:dyDescent="0.45">
      <c r="A75" s="10">
        <v>6</v>
      </c>
      <c r="B75" s="12">
        <f t="shared" si="12"/>
        <v>11</v>
      </c>
      <c r="C75" s="12">
        <f t="shared" si="13"/>
        <v>775</v>
      </c>
      <c r="D75" s="12">
        <f t="shared" si="14"/>
        <v>50</v>
      </c>
      <c r="E75" s="13">
        <f t="shared" si="15"/>
        <v>15.5</v>
      </c>
      <c r="F75" s="12">
        <f t="shared" si="16"/>
        <v>70</v>
      </c>
      <c r="G75" s="13">
        <f t="shared" si="17"/>
        <v>11.071428571428571</v>
      </c>
      <c r="H75" s="12">
        <f t="shared" si="18"/>
        <v>100</v>
      </c>
      <c r="I75" s="13">
        <f t="shared" si="19"/>
        <v>7.75</v>
      </c>
      <c r="J75" s="12">
        <f t="shared" si="20"/>
        <v>200</v>
      </c>
    </row>
    <row r="76" spans="1:10" x14ac:dyDescent="0.45">
      <c r="A76" s="10">
        <v>7</v>
      </c>
      <c r="B76" s="12">
        <f t="shared" si="12"/>
        <v>13</v>
      </c>
      <c r="C76" s="12">
        <f t="shared" si="13"/>
        <v>955</v>
      </c>
      <c r="D76" s="12">
        <f t="shared" si="14"/>
        <v>55</v>
      </c>
      <c r="E76" s="13">
        <f t="shared" si="15"/>
        <v>17.363636363636363</v>
      </c>
      <c r="F76" s="12">
        <f t="shared" si="16"/>
        <v>77</v>
      </c>
      <c r="G76" s="13">
        <f t="shared" si="17"/>
        <v>12.402597402597403</v>
      </c>
      <c r="H76" s="12">
        <f t="shared" si="18"/>
        <v>110</v>
      </c>
      <c r="I76" s="13">
        <f t="shared" si="19"/>
        <v>8.6818181818181817</v>
      </c>
      <c r="J76" s="12">
        <f t="shared" si="20"/>
        <v>220</v>
      </c>
    </row>
    <row r="77" spans="1:10" x14ac:dyDescent="0.45">
      <c r="A77" s="10">
        <v>8</v>
      </c>
      <c r="B77" s="12">
        <f t="shared" si="12"/>
        <v>15</v>
      </c>
      <c r="C77" s="12">
        <f t="shared" si="13"/>
        <v>1100</v>
      </c>
      <c r="D77" s="12">
        <f t="shared" si="14"/>
        <v>60</v>
      </c>
      <c r="E77" s="13">
        <f t="shared" si="15"/>
        <v>18.333333333333332</v>
      </c>
      <c r="F77" s="12">
        <f t="shared" si="16"/>
        <v>84</v>
      </c>
      <c r="G77" s="13">
        <f t="shared" si="17"/>
        <v>13.095238095238095</v>
      </c>
      <c r="H77" s="12">
        <f t="shared" si="18"/>
        <v>120</v>
      </c>
      <c r="I77" s="13">
        <f t="shared" si="19"/>
        <v>9.1666666666666661</v>
      </c>
      <c r="J77" s="12">
        <f t="shared" si="20"/>
        <v>240</v>
      </c>
    </row>
    <row r="78" spans="1:10" x14ac:dyDescent="0.45">
      <c r="A78" s="10">
        <v>9</v>
      </c>
      <c r="B78" s="12">
        <f t="shared" si="12"/>
        <v>17</v>
      </c>
      <c r="C78" s="12">
        <f t="shared" si="13"/>
        <v>1040</v>
      </c>
      <c r="D78" s="12">
        <f t="shared" si="14"/>
        <v>65</v>
      </c>
      <c r="E78" s="13">
        <f t="shared" si="15"/>
        <v>16</v>
      </c>
      <c r="F78" s="12">
        <f t="shared" si="16"/>
        <v>91</v>
      </c>
      <c r="G78" s="13">
        <f t="shared" si="17"/>
        <v>11.428571428571429</v>
      </c>
      <c r="H78" s="12">
        <f t="shared" si="18"/>
        <v>130</v>
      </c>
      <c r="I78" s="13">
        <f t="shared" si="19"/>
        <v>8</v>
      </c>
      <c r="J78" s="12">
        <f t="shared" si="20"/>
        <v>260</v>
      </c>
    </row>
    <row r="79" spans="1:10" x14ac:dyDescent="0.45">
      <c r="A79" s="10">
        <v>10</v>
      </c>
      <c r="B79" s="12">
        <f t="shared" si="12"/>
        <v>19</v>
      </c>
      <c r="C79" s="12">
        <f t="shared" si="13"/>
        <v>1185</v>
      </c>
      <c r="D79" s="12">
        <f t="shared" si="14"/>
        <v>70</v>
      </c>
      <c r="E79" s="13">
        <f t="shared" si="15"/>
        <v>16.928571428571427</v>
      </c>
      <c r="F79" s="12">
        <f t="shared" si="16"/>
        <v>98</v>
      </c>
      <c r="G79" s="13">
        <f t="shared" si="17"/>
        <v>12.091836734693878</v>
      </c>
      <c r="H79" s="12">
        <f t="shared" si="18"/>
        <v>140</v>
      </c>
      <c r="I79" s="13">
        <f t="shared" si="19"/>
        <v>8.4642857142857135</v>
      </c>
      <c r="J79" s="12">
        <f t="shared" si="20"/>
        <v>280</v>
      </c>
    </row>
    <row r="80" spans="1:10" x14ac:dyDescent="0.45">
      <c r="A80" s="10">
        <v>11</v>
      </c>
      <c r="B80" s="12">
        <f t="shared" si="12"/>
        <v>21</v>
      </c>
      <c r="C80" s="12">
        <f t="shared" si="13"/>
        <v>1370</v>
      </c>
      <c r="D80" s="12">
        <f t="shared" si="14"/>
        <v>75</v>
      </c>
      <c r="E80" s="13">
        <f t="shared" si="15"/>
        <v>18.266666666666666</v>
      </c>
      <c r="F80" s="12">
        <f t="shared" si="16"/>
        <v>105</v>
      </c>
      <c r="G80" s="13">
        <f t="shared" si="17"/>
        <v>13.047619047619047</v>
      </c>
      <c r="H80" s="12">
        <f t="shared" si="18"/>
        <v>150</v>
      </c>
      <c r="I80" s="13">
        <f t="shared" si="19"/>
        <v>9.1333333333333329</v>
      </c>
      <c r="J80" s="12">
        <f t="shared" si="20"/>
        <v>300</v>
      </c>
    </row>
    <row r="81" spans="1:10" x14ac:dyDescent="0.45">
      <c r="A81" s="10">
        <v>12</v>
      </c>
      <c r="B81" s="12">
        <f t="shared" si="12"/>
        <v>23</v>
      </c>
      <c r="C81" s="12">
        <f t="shared" si="13"/>
        <v>1370</v>
      </c>
      <c r="D81" s="12">
        <f t="shared" si="14"/>
        <v>80</v>
      </c>
      <c r="E81" s="13">
        <f t="shared" si="15"/>
        <v>17.125</v>
      </c>
      <c r="F81" s="12">
        <f t="shared" si="16"/>
        <v>112</v>
      </c>
      <c r="G81" s="13">
        <f t="shared" si="17"/>
        <v>12.232142857142858</v>
      </c>
      <c r="H81" s="12">
        <f t="shared" si="18"/>
        <v>160</v>
      </c>
      <c r="I81" s="13">
        <f t="shared" si="19"/>
        <v>8.5625</v>
      </c>
      <c r="J81" s="12">
        <f t="shared" si="20"/>
        <v>320</v>
      </c>
    </row>
    <row r="82" spans="1:10" x14ac:dyDescent="0.45">
      <c r="A82" s="10">
        <v>13</v>
      </c>
      <c r="B82" s="12">
        <f t="shared" si="12"/>
        <v>25</v>
      </c>
      <c r="C82" s="12">
        <f t="shared" si="13"/>
        <v>1300</v>
      </c>
      <c r="D82" s="12">
        <f t="shared" si="14"/>
        <v>85</v>
      </c>
      <c r="E82" s="13">
        <f t="shared" si="15"/>
        <v>15.294117647058824</v>
      </c>
      <c r="F82" s="12">
        <f t="shared" si="16"/>
        <v>119</v>
      </c>
      <c r="G82" s="13">
        <f t="shared" si="17"/>
        <v>10.92436974789916</v>
      </c>
      <c r="H82" s="12">
        <f t="shared" si="18"/>
        <v>170</v>
      </c>
      <c r="I82" s="13">
        <f t="shared" si="19"/>
        <v>7.6470588235294121</v>
      </c>
      <c r="J82" s="12">
        <f t="shared" si="20"/>
        <v>340</v>
      </c>
    </row>
    <row r="83" spans="1:10" x14ac:dyDescent="0.45">
      <c r="A83" s="10">
        <v>14</v>
      </c>
      <c r="B83" s="12">
        <f t="shared" si="12"/>
        <v>27</v>
      </c>
      <c r="C83" s="12">
        <f t="shared" si="13"/>
        <v>1375</v>
      </c>
      <c r="D83" s="12">
        <f t="shared" si="14"/>
        <v>90</v>
      </c>
      <c r="E83" s="13">
        <f t="shared" si="15"/>
        <v>15.277777777777779</v>
      </c>
      <c r="F83" s="12">
        <f t="shared" si="16"/>
        <v>126</v>
      </c>
      <c r="G83" s="13">
        <f t="shared" si="17"/>
        <v>10.912698412698413</v>
      </c>
      <c r="H83" s="12">
        <f t="shared" si="18"/>
        <v>180</v>
      </c>
      <c r="I83" s="13">
        <f t="shared" si="19"/>
        <v>7.6388888888888893</v>
      </c>
      <c r="J83" s="12">
        <f t="shared" si="20"/>
        <v>360</v>
      </c>
    </row>
    <row r="84" spans="1:10" x14ac:dyDescent="0.45">
      <c r="A84" s="10">
        <v>15</v>
      </c>
      <c r="B84" s="12">
        <f t="shared" si="12"/>
        <v>29</v>
      </c>
      <c r="C84" s="12">
        <f t="shared" si="13"/>
        <v>1015</v>
      </c>
      <c r="D84" s="12">
        <f t="shared" si="14"/>
        <v>95</v>
      </c>
      <c r="E84" s="13">
        <f t="shared" si="15"/>
        <v>10.684210526315789</v>
      </c>
      <c r="F84" s="12">
        <f t="shared" si="16"/>
        <v>133</v>
      </c>
      <c r="G84" s="13">
        <f t="shared" si="17"/>
        <v>7.6315789473684212</v>
      </c>
      <c r="H84" s="12">
        <f t="shared" si="18"/>
        <v>190</v>
      </c>
      <c r="I84" s="13">
        <f t="shared" si="19"/>
        <v>5.3421052631578947</v>
      </c>
      <c r="J84" s="12">
        <f t="shared" si="20"/>
        <v>380</v>
      </c>
    </row>
    <row r="85" spans="1:10" x14ac:dyDescent="0.45">
      <c r="A85" s="2" t="s">
        <v>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2"/>
  <sheetViews>
    <sheetView showGridLines="0" workbookViewId="0"/>
  </sheetViews>
  <sheetFormatPr baseColWidth="10" defaultColWidth="9.06640625" defaultRowHeight="14.25" x14ac:dyDescent="0.45"/>
  <cols>
    <col min="1" max="1" width="40" customWidth="1"/>
    <col min="2" max="7" width="13" customWidth="1"/>
    <col min="8" max="8" width="40" customWidth="1"/>
  </cols>
  <sheetData>
    <row r="1" spans="1:8" ht="17.649999999999999" x14ac:dyDescent="0.5">
      <c r="A1" s="1" t="s">
        <v>184</v>
      </c>
    </row>
    <row r="2" spans="1:8" x14ac:dyDescent="0.45">
      <c r="A2" s="2" t="s">
        <v>185</v>
      </c>
    </row>
    <row r="4" spans="1:8" x14ac:dyDescent="0.45">
      <c r="A4" s="3" t="s">
        <v>186</v>
      </c>
      <c r="B4" s="3"/>
      <c r="C4" s="3"/>
      <c r="D4" s="3"/>
      <c r="E4" s="3"/>
      <c r="F4" s="3"/>
      <c r="G4" s="3"/>
      <c r="H4" s="3"/>
    </row>
    <row r="5" spans="1:8" x14ac:dyDescent="0.45">
      <c r="A5" s="5" t="s">
        <v>187</v>
      </c>
      <c r="B5" s="19">
        <v>50</v>
      </c>
      <c r="C5" s="2" t="s">
        <v>188</v>
      </c>
    </row>
    <row r="6" spans="1:8" x14ac:dyDescent="0.45">
      <c r="A6" s="6" t="s">
        <v>90</v>
      </c>
      <c r="B6" s="6" t="s">
        <v>189</v>
      </c>
      <c r="C6" s="6" t="s">
        <v>190</v>
      </c>
      <c r="D6" s="6" t="s">
        <v>191</v>
      </c>
      <c r="E6" s="6" t="s">
        <v>192</v>
      </c>
      <c r="F6" s="6" t="s">
        <v>193</v>
      </c>
      <c r="G6" s="6" t="s">
        <v>194</v>
      </c>
      <c r="H6" s="6" t="s">
        <v>195</v>
      </c>
    </row>
    <row r="7" spans="1:8" x14ac:dyDescent="0.45">
      <c r="A7" s="8" t="s">
        <v>97</v>
      </c>
      <c r="B7" s="19">
        <v>12</v>
      </c>
      <c r="C7" s="20">
        <f>ROUND(B7*(1+0.1*(1-1)),0)</f>
        <v>12</v>
      </c>
      <c r="D7" s="20">
        <f>ROUND(B7*(1+0.1*(5-1)),0)</f>
        <v>17</v>
      </c>
      <c r="E7" s="20">
        <f>ROUND(B7*(1+0.1*(10-1)),0)</f>
        <v>23</v>
      </c>
      <c r="F7" s="20">
        <f>ROUND(B7*(1+0.1*(20-1)),0)</f>
        <v>35</v>
      </c>
      <c r="G7" s="20">
        <f>ROUND(B7*(1+0.1*(30-1)),0)</f>
        <v>47</v>
      </c>
      <c r="H7" s="8" t="s">
        <v>196</v>
      </c>
    </row>
    <row r="8" spans="1:8" x14ac:dyDescent="0.45">
      <c r="A8" s="8" t="s">
        <v>98</v>
      </c>
      <c r="B8" s="19">
        <v>25</v>
      </c>
      <c r="C8" s="20">
        <f>ROUND(B8*(1+0.1*(1-1)),0)</f>
        <v>25</v>
      </c>
      <c r="D8" s="20">
        <f>ROUND(B8*(1+0.1*(5-1)),0)</f>
        <v>35</v>
      </c>
      <c r="E8" s="20">
        <f>ROUND(B8*(1+0.1*(10-1)),0)</f>
        <v>48</v>
      </c>
      <c r="F8" s="20">
        <f>ROUND(B8*(1+0.1*(20-1)),0)</f>
        <v>73</v>
      </c>
      <c r="G8" s="20">
        <f>ROUND(B8*(1+0.1*(30-1)),0)</f>
        <v>98</v>
      </c>
      <c r="H8" s="8" t="s">
        <v>196</v>
      </c>
    </row>
    <row r="9" spans="1:8" x14ac:dyDescent="0.45">
      <c r="A9" s="8" t="s">
        <v>99</v>
      </c>
      <c r="B9" s="19">
        <v>10</v>
      </c>
      <c r="C9" s="20">
        <f>ROUND(B9*(1+0.1*(1-1)),0)</f>
        <v>10</v>
      </c>
      <c r="D9" s="20">
        <f>ROUND(B9*(1+0.1*(5-1)),0)</f>
        <v>14</v>
      </c>
      <c r="E9" s="20">
        <f>ROUND(B9*(1+0.1*(10-1)),0)</f>
        <v>19</v>
      </c>
      <c r="F9" s="20">
        <f>ROUND(B9*(1+0.1*(20-1)),0)</f>
        <v>29</v>
      </c>
      <c r="G9" s="20">
        <f>ROUND(B9*(1+0.1*(30-1)),0)</f>
        <v>39</v>
      </c>
      <c r="H9" s="8" t="s">
        <v>196</v>
      </c>
    </row>
    <row r="10" spans="1:8" x14ac:dyDescent="0.45">
      <c r="A10" s="8" t="s">
        <v>100</v>
      </c>
      <c r="B10" s="19">
        <v>15</v>
      </c>
      <c r="C10" s="20">
        <f>ROUND(B10*(1+0.1*(1-1)),0)</f>
        <v>15</v>
      </c>
      <c r="D10" s="20">
        <f>ROUND(B10*(1+0.1*(5-1)),0)</f>
        <v>21</v>
      </c>
      <c r="E10" s="20">
        <f>ROUND(B10*(1+0.1*(10-1)),0)</f>
        <v>29</v>
      </c>
      <c r="F10" s="20">
        <f>ROUND(B10*(1+0.1*(20-1)),0)</f>
        <v>44</v>
      </c>
      <c r="G10" s="20">
        <f>ROUND(B10*(1+0.1*(30-1)),0)</f>
        <v>59</v>
      </c>
      <c r="H10" s="8" t="s">
        <v>196</v>
      </c>
    </row>
    <row r="12" spans="1:8" x14ac:dyDescent="0.45">
      <c r="A12" s="6" t="s">
        <v>197</v>
      </c>
      <c r="B12" s="6" t="s">
        <v>198</v>
      </c>
    </row>
    <row r="13" spans="1:8" x14ac:dyDescent="0.45">
      <c r="A13" s="8" t="s">
        <v>199</v>
      </c>
      <c r="B13" s="19">
        <v>-25</v>
      </c>
    </row>
    <row r="14" spans="1:8" x14ac:dyDescent="0.45">
      <c r="A14" s="8" t="s">
        <v>200</v>
      </c>
      <c r="B14" s="19">
        <v>-20</v>
      </c>
    </row>
    <row r="15" spans="1:8" x14ac:dyDescent="0.45">
      <c r="A15" s="8" t="s">
        <v>201</v>
      </c>
      <c r="B15" s="19">
        <v>100</v>
      </c>
    </row>
    <row r="16" spans="1:8" x14ac:dyDescent="0.45">
      <c r="A16" s="8" t="s">
        <v>202</v>
      </c>
      <c r="B16" s="19">
        <v>15</v>
      </c>
    </row>
    <row r="17" spans="1:8" x14ac:dyDescent="0.45">
      <c r="A17" s="8" t="s">
        <v>203</v>
      </c>
      <c r="B17" s="19">
        <v>-40</v>
      </c>
    </row>
    <row r="18" spans="1:8" x14ac:dyDescent="0.45">
      <c r="A18" s="8" t="s">
        <v>204</v>
      </c>
      <c r="B18" s="19">
        <v>50</v>
      </c>
    </row>
    <row r="19" spans="1:8" x14ac:dyDescent="0.45">
      <c r="A19" s="8" t="s">
        <v>205</v>
      </c>
      <c r="B19" s="19">
        <v>-50</v>
      </c>
    </row>
    <row r="20" spans="1:8" x14ac:dyDescent="0.45">
      <c r="A20" s="8" t="s">
        <v>206</v>
      </c>
      <c r="B20" s="17" t="s">
        <v>207</v>
      </c>
    </row>
    <row r="22" spans="1:8" x14ac:dyDescent="0.45">
      <c r="A22" s="3" t="s">
        <v>208</v>
      </c>
      <c r="B22" s="3"/>
      <c r="C22" s="3"/>
      <c r="D22" s="3"/>
      <c r="E22" s="3"/>
      <c r="F22" s="3"/>
      <c r="G22" s="3"/>
      <c r="H22" s="3"/>
    </row>
    <row r="23" spans="1:8" x14ac:dyDescent="0.45">
      <c r="A23" s="6" t="s">
        <v>209</v>
      </c>
      <c r="B23" s="6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</row>
    <row r="24" spans="1:8" x14ac:dyDescent="0.45">
      <c r="A24" s="8" t="s">
        <v>216</v>
      </c>
      <c r="B24" s="19">
        <v>25</v>
      </c>
      <c r="C24" s="20">
        <f>B24+20*0</f>
        <v>25</v>
      </c>
      <c r="D24" s="20">
        <f>B24+20*1</f>
        <v>45</v>
      </c>
      <c r="E24" s="20">
        <f>B24+20*2</f>
        <v>65</v>
      </c>
      <c r="F24" s="20">
        <f>B24+20*3</f>
        <v>85</v>
      </c>
      <c r="G24" s="20">
        <f>B24+20*4</f>
        <v>105</v>
      </c>
    </row>
    <row r="25" spans="1:8" x14ac:dyDescent="0.45">
      <c r="A25" s="8" t="s">
        <v>217</v>
      </c>
      <c r="B25" s="19">
        <v>50</v>
      </c>
      <c r="C25" s="20">
        <f>B25+20*0</f>
        <v>50</v>
      </c>
      <c r="D25" s="20">
        <f>B25+20*1</f>
        <v>70</v>
      </c>
      <c r="E25" s="20">
        <f>B25+20*2</f>
        <v>90</v>
      </c>
      <c r="F25" s="20">
        <f>B25+20*3</f>
        <v>110</v>
      </c>
      <c r="G25" s="20">
        <f>B25+20*4</f>
        <v>130</v>
      </c>
    </row>
    <row r="26" spans="1:8" x14ac:dyDescent="0.45">
      <c r="A26" s="8" t="s">
        <v>218</v>
      </c>
      <c r="B26" s="19">
        <v>100</v>
      </c>
      <c r="C26" s="20">
        <f>B26+20*0</f>
        <v>100</v>
      </c>
      <c r="D26" s="20">
        <f>B26+20*1</f>
        <v>120</v>
      </c>
      <c r="E26" s="20">
        <f>B26+20*2</f>
        <v>140</v>
      </c>
      <c r="F26" s="20">
        <f>B26+20*3</f>
        <v>160</v>
      </c>
      <c r="G26" s="20">
        <f>B26+20*4</f>
        <v>180</v>
      </c>
    </row>
    <row r="27" spans="1:8" x14ac:dyDescent="0.45">
      <c r="A27" s="8" t="s">
        <v>219</v>
      </c>
      <c r="B27" s="19">
        <v>150</v>
      </c>
      <c r="C27" s="20">
        <f>B27+20*0</f>
        <v>150</v>
      </c>
      <c r="D27" s="20">
        <f>B27+20*1</f>
        <v>170</v>
      </c>
      <c r="E27" s="20">
        <f>B27+20*2</f>
        <v>190</v>
      </c>
      <c r="F27" s="20">
        <f>B27+20*3</f>
        <v>210</v>
      </c>
      <c r="G27" s="20">
        <f>B27+20*4</f>
        <v>230</v>
      </c>
    </row>
    <row r="28" spans="1:8" x14ac:dyDescent="0.45">
      <c r="A28" s="8" t="s">
        <v>220</v>
      </c>
      <c r="B28" s="19">
        <v>200</v>
      </c>
      <c r="C28" s="20">
        <f>B28+20*0</f>
        <v>200</v>
      </c>
      <c r="D28" s="20">
        <f>B28+20*1</f>
        <v>220</v>
      </c>
      <c r="E28" s="20">
        <f>B28+20*2</f>
        <v>240</v>
      </c>
      <c r="F28" s="20">
        <f>B28+20*3</f>
        <v>260</v>
      </c>
      <c r="G28" s="20">
        <f>B28+20*4</f>
        <v>280</v>
      </c>
    </row>
    <row r="29" spans="1:8" x14ac:dyDescent="0.45">
      <c r="A29" s="2" t="s">
        <v>221</v>
      </c>
    </row>
    <row r="30" spans="1:8" x14ac:dyDescent="0.45">
      <c r="A30" s="6" t="s">
        <v>222</v>
      </c>
      <c r="B30" s="6" t="s">
        <v>223</v>
      </c>
    </row>
    <row r="31" spans="1:8" x14ac:dyDescent="0.45">
      <c r="A31" s="8" t="s">
        <v>224</v>
      </c>
      <c r="B31" s="19">
        <v>15</v>
      </c>
    </row>
    <row r="32" spans="1:8" x14ac:dyDescent="0.45">
      <c r="A32" s="8" t="s">
        <v>225</v>
      </c>
      <c r="B32" s="19">
        <v>30</v>
      </c>
    </row>
    <row r="33" spans="1:6" x14ac:dyDescent="0.45">
      <c r="A33" s="8" t="s">
        <v>226</v>
      </c>
      <c r="B33" s="19">
        <v>75</v>
      </c>
    </row>
    <row r="34" spans="1:6" x14ac:dyDescent="0.45">
      <c r="A34" s="8" t="s">
        <v>227</v>
      </c>
      <c r="B34" s="19">
        <v>100</v>
      </c>
    </row>
    <row r="35" spans="1:6" x14ac:dyDescent="0.45">
      <c r="A35" s="8" t="s">
        <v>228</v>
      </c>
      <c r="B35" s="18" t="s">
        <v>229</v>
      </c>
      <c r="C35" s="18" t="s">
        <v>230</v>
      </c>
      <c r="D35" s="18" t="s">
        <v>231</v>
      </c>
      <c r="E35" s="18" t="s">
        <v>232</v>
      </c>
      <c r="F35" s="18" t="s">
        <v>233</v>
      </c>
    </row>
    <row r="36" spans="1:6" x14ac:dyDescent="0.45">
      <c r="A36" s="8" t="s">
        <v>223</v>
      </c>
      <c r="B36" s="20">
        <f>150*2^0</f>
        <v>150</v>
      </c>
      <c r="C36" s="20">
        <f>150*2^1</f>
        <v>300</v>
      </c>
      <c r="D36" s="20">
        <f>150*2^2</f>
        <v>600</v>
      </c>
      <c r="E36" s="20">
        <f>150*2^3</f>
        <v>1200</v>
      </c>
      <c r="F36" s="20">
        <f>150*2^4</f>
        <v>2400</v>
      </c>
    </row>
    <row r="38" spans="1:6" x14ac:dyDescent="0.45">
      <c r="A38" s="5" t="s">
        <v>234</v>
      </c>
      <c r="B38" s="19">
        <v>50</v>
      </c>
    </row>
    <row r="39" spans="1:6" x14ac:dyDescent="0.45">
      <c r="A39" s="5" t="s">
        <v>235</v>
      </c>
      <c r="B39" s="19">
        <v>50</v>
      </c>
    </row>
    <row r="40" spans="1:6" x14ac:dyDescent="0.45">
      <c r="A40" s="6" t="s">
        <v>236</v>
      </c>
      <c r="B40" s="6" t="s">
        <v>237</v>
      </c>
      <c r="C40" s="6" t="s">
        <v>238</v>
      </c>
      <c r="D40" s="6" t="s">
        <v>239</v>
      </c>
      <c r="E40" s="6" t="s">
        <v>240</v>
      </c>
    </row>
    <row r="41" spans="1:6" x14ac:dyDescent="0.45">
      <c r="A41" s="10">
        <v>1</v>
      </c>
      <c r="B41" s="20">
        <f t="shared" ref="B41:B50" si="0">$B$38*A41</f>
        <v>50</v>
      </c>
      <c r="C41" s="20">
        <f t="shared" ref="C41:C50" si="1">$B$38*A41*(A41-1)/2</f>
        <v>0</v>
      </c>
      <c r="D41" s="20">
        <f t="shared" ref="D41:D50" si="2">$B$39*A41</f>
        <v>50</v>
      </c>
      <c r="E41" s="12">
        <f t="shared" ref="E41:E50" si="3">INT((2*A41+1)/3)</f>
        <v>1</v>
      </c>
    </row>
    <row r="42" spans="1:6" x14ac:dyDescent="0.45">
      <c r="A42" s="10">
        <v>2</v>
      </c>
      <c r="B42" s="20">
        <f t="shared" si="0"/>
        <v>100</v>
      </c>
      <c r="C42" s="20">
        <f t="shared" si="1"/>
        <v>50</v>
      </c>
      <c r="D42" s="20">
        <f t="shared" si="2"/>
        <v>100</v>
      </c>
      <c r="E42" s="12">
        <f t="shared" si="3"/>
        <v>1</v>
      </c>
    </row>
    <row r="43" spans="1:6" x14ac:dyDescent="0.45">
      <c r="A43" s="10">
        <v>3</v>
      </c>
      <c r="B43" s="20">
        <f t="shared" si="0"/>
        <v>150</v>
      </c>
      <c r="C43" s="20">
        <f t="shared" si="1"/>
        <v>150</v>
      </c>
      <c r="D43" s="20">
        <f t="shared" si="2"/>
        <v>150</v>
      </c>
      <c r="E43" s="12">
        <f t="shared" si="3"/>
        <v>2</v>
      </c>
    </row>
    <row r="44" spans="1:6" x14ac:dyDescent="0.45">
      <c r="A44" s="10">
        <v>4</v>
      </c>
      <c r="B44" s="20">
        <f t="shared" si="0"/>
        <v>200</v>
      </c>
      <c r="C44" s="20">
        <f t="shared" si="1"/>
        <v>300</v>
      </c>
      <c r="D44" s="20">
        <f t="shared" si="2"/>
        <v>200</v>
      </c>
      <c r="E44" s="12">
        <f t="shared" si="3"/>
        <v>3</v>
      </c>
    </row>
    <row r="45" spans="1:6" x14ac:dyDescent="0.45">
      <c r="A45" s="10">
        <v>5</v>
      </c>
      <c r="B45" s="20">
        <f t="shared" si="0"/>
        <v>250</v>
      </c>
      <c r="C45" s="20">
        <f t="shared" si="1"/>
        <v>500</v>
      </c>
      <c r="D45" s="20">
        <f t="shared" si="2"/>
        <v>250</v>
      </c>
      <c r="E45" s="12">
        <f t="shared" si="3"/>
        <v>3</v>
      </c>
    </row>
    <row r="46" spans="1:6" x14ac:dyDescent="0.45">
      <c r="A46" s="10">
        <v>6</v>
      </c>
      <c r="B46" s="20">
        <f t="shared" si="0"/>
        <v>300</v>
      </c>
      <c r="C46" s="20">
        <f t="shared" si="1"/>
        <v>750</v>
      </c>
      <c r="D46" s="20">
        <f t="shared" si="2"/>
        <v>300</v>
      </c>
      <c r="E46" s="12">
        <f t="shared" si="3"/>
        <v>4</v>
      </c>
    </row>
    <row r="47" spans="1:6" x14ac:dyDescent="0.45">
      <c r="A47" s="10">
        <v>7</v>
      </c>
      <c r="B47" s="20">
        <f t="shared" si="0"/>
        <v>350</v>
      </c>
      <c r="C47" s="20">
        <f t="shared" si="1"/>
        <v>1050</v>
      </c>
      <c r="D47" s="20">
        <f t="shared" si="2"/>
        <v>350</v>
      </c>
      <c r="E47" s="12">
        <f t="shared" si="3"/>
        <v>5</v>
      </c>
    </row>
    <row r="48" spans="1:6" x14ac:dyDescent="0.45">
      <c r="A48" s="10">
        <v>8</v>
      </c>
      <c r="B48" s="20">
        <f t="shared" si="0"/>
        <v>400</v>
      </c>
      <c r="C48" s="20">
        <f t="shared" si="1"/>
        <v>1400</v>
      </c>
      <c r="D48" s="20">
        <f t="shared" si="2"/>
        <v>400</v>
      </c>
      <c r="E48" s="12">
        <f t="shared" si="3"/>
        <v>5</v>
      </c>
    </row>
    <row r="49" spans="1:8" x14ac:dyDescent="0.45">
      <c r="A49" s="10">
        <v>9</v>
      </c>
      <c r="B49" s="20">
        <f t="shared" si="0"/>
        <v>450</v>
      </c>
      <c r="C49" s="20">
        <f t="shared" si="1"/>
        <v>1800</v>
      </c>
      <c r="D49" s="20">
        <f t="shared" si="2"/>
        <v>450</v>
      </c>
      <c r="E49" s="12">
        <f t="shared" si="3"/>
        <v>6</v>
      </c>
    </row>
    <row r="50" spans="1:8" x14ac:dyDescent="0.45">
      <c r="A50" s="10">
        <v>10</v>
      </c>
      <c r="B50" s="20">
        <f t="shared" si="0"/>
        <v>500</v>
      </c>
      <c r="C50" s="20">
        <f t="shared" si="1"/>
        <v>2250</v>
      </c>
      <c r="D50" s="20">
        <f t="shared" si="2"/>
        <v>500</v>
      </c>
      <c r="E50" s="12">
        <f t="shared" si="3"/>
        <v>7</v>
      </c>
    </row>
    <row r="51" spans="1:8" x14ac:dyDescent="0.45">
      <c r="A51" s="2" t="s">
        <v>241</v>
      </c>
    </row>
    <row r="53" spans="1:8" x14ac:dyDescent="0.45">
      <c r="A53" s="3" t="s">
        <v>242</v>
      </c>
      <c r="B53" s="3"/>
      <c r="C53" s="3"/>
      <c r="D53" s="3"/>
      <c r="E53" s="3"/>
      <c r="F53" s="3"/>
      <c r="G53" s="3"/>
      <c r="H53" s="3"/>
    </row>
    <row r="54" spans="1:8" x14ac:dyDescent="0.45">
      <c r="A54" s="5" t="s">
        <v>243</v>
      </c>
      <c r="B54" s="11">
        <v>6</v>
      </c>
    </row>
    <row r="55" spans="1:8" x14ac:dyDescent="0.45">
      <c r="A55" s="5" t="s">
        <v>244</v>
      </c>
      <c r="B55" s="11">
        <v>1</v>
      </c>
    </row>
    <row r="56" spans="1:8" x14ac:dyDescent="0.45">
      <c r="A56" s="5" t="s">
        <v>245</v>
      </c>
      <c r="B56" s="11">
        <v>1</v>
      </c>
    </row>
    <row r="57" spans="1:8" x14ac:dyDescent="0.45">
      <c r="A57" s="5" t="s">
        <v>246</v>
      </c>
      <c r="B57" s="21">
        <v>1</v>
      </c>
      <c r="C57" s="2" t="s">
        <v>247</v>
      </c>
    </row>
    <row r="58" spans="1:8" x14ac:dyDescent="0.45">
      <c r="A58" s="5" t="s">
        <v>248</v>
      </c>
      <c r="B58" s="21">
        <v>1</v>
      </c>
    </row>
    <row r="59" spans="1:8" x14ac:dyDescent="0.45">
      <c r="A59" s="5" t="s">
        <v>249</v>
      </c>
      <c r="B59" s="21">
        <v>11</v>
      </c>
      <c r="C59" s="2" t="s">
        <v>250</v>
      </c>
    </row>
    <row r="60" spans="1:8" x14ac:dyDescent="0.45">
      <c r="A60" s="5" t="s">
        <v>251</v>
      </c>
      <c r="B60" s="11">
        <v>1</v>
      </c>
    </row>
    <row r="61" spans="1:8" x14ac:dyDescent="0.45">
      <c r="A61" s="5" t="s">
        <v>252</v>
      </c>
      <c r="B61" s="19">
        <f>($B$54*$B$57*(1+0.1*($B$60-1))+$B$55*$B$58*(1+0.1*($B$60))+$B$56*(1+0.1*($B$60+1)))*$B$59</f>
        <v>91.299999999999983</v>
      </c>
      <c r="C61" s="2" t="s">
        <v>253</v>
      </c>
    </row>
    <row r="62" spans="1:8" x14ac:dyDescent="0.45">
      <c r="A62" s="2" t="s">
        <v>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4"/>
  <sheetViews>
    <sheetView showGridLines="0" workbookViewId="0"/>
  </sheetViews>
  <sheetFormatPr baseColWidth="10" defaultColWidth="9.06640625" defaultRowHeight="14.25" x14ac:dyDescent="0.45"/>
  <cols>
    <col min="1" max="1" width="26" customWidth="1"/>
    <col min="2" max="2" width="12" customWidth="1"/>
    <col min="3" max="3" width="10" customWidth="1"/>
    <col min="4" max="4" width="8" customWidth="1"/>
    <col min="5" max="5" width="12" customWidth="1"/>
    <col min="6" max="6" width="10" customWidth="1"/>
    <col min="7" max="11" width="12" customWidth="1"/>
    <col min="12" max="12" width="30" customWidth="1"/>
  </cols>
  <sheetData>
    <row r="1" spans="1:12" ht="17.649999999999999" x14ac:dyDescent="0.5">
      <c r="A1" s="1" t="s">
        <v>255</v>
      </c>
    </row>
    <row r="2" spans="1:12" x14ac:dyDescent="0.45">
      <c r="A2" s="2" t="s">
        <v>256</v>
      </c>
    </row>
    <row r="4" spans="1:12" x14ac:dyDescent="0.45">
      <c r="A4" s="3" t="s">
        <v>257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45">
      <c r="A5" s="6" t="s">
        <v>258</v>
      </c>
      <c r="B5" s="6" t="s">
        <v>166</v>
      </c>
      <c r="C5" s="6" t="s">
        <v>259</v>
      </c>
      <c r="D5" s="6" t="s">
        <v>260</v>
      </c>
      <c r="E5" s="6" t="s">
        <v>261</v>
      </c>
      <c r="F5" s="6" t="s">
        <v>262</v>
      </c>
    </row>
    <row r="6" spans="1:12" x14ac:dyDescent="0.45">
      <c r="A6" s="8" t="s">
        <v>216</v>
      </c>
      <c r="B6" s="9">
        <v>1</v>
      </c>
      <c r="C6" s="10">
        <v>0</v>
      </c>
      <c r="D6" s="12">
        <f>3^C6</f>
        <v>1</v>
      </c>
      <c r="E6" s="19">
        <v>25</v>
      </c>
      <c r="F6" s="12">
        <f>C6</f>
        <v>0</v>
      </c>
    </row>
    <row r="7" spans="1:12" x14ac:dyDescent="0.45">
      <c r="A7" s="8" t="s">
        <v>217</v>
      </c>
      <c r="B7" s="9">
        <v>1.2</v>
      </c>
      <c r="C7" s="10">
        <v>1</v>
      </c>
      <c r="D7" s="12">
        <f>3^C7</f>
        <v>3</v>
      </c>
      <c r="E7" s="19">
        <v>50</v>
      </c>
      <c r="F7" s="12">
        <f>C7</f>
        <v>1</v>
      </c>
    </row>
    <row r="8" spans="1:12" x14ac:dyDescent="0.45">
      <c r="A8" s="8" t="s">
        <v>218</v>
      </c>
      <c r="B8" s="9">
        <v>1.4</v>
      </c>
      <c r="C8" s="10">
        <v>2</v>
      </c>
      <c r="D8" s="12">
        <f>3^C8</f>
        <v>9</v>
      </c>
      <c r="E8" s="19">
        <v>100</v>
      </c>
      <c r="F8" s="12">
        <f>C8</f>
        <v>2</v>
      </c>
    </row>
    <row r="9" spans="1:12" x14ac:dyDescent="0.45">
      <c r="A9" s="8" t="s">
        <v>219</v>
      </c>
      <c r="B9" s="9">
        <v>1.6</v>
      </c>
      <c r="C9" s="10">
        <v>3</v>
      </c>
      <c r="D9" s="12">
        <f>3^C9</f>
        <v>27</v>
      </c>
      <c r="E9" s="19">
        <v>150</v>
      </c>
      <c r="F9" s="12">
        <f>C9</f>
        <v>3</v>
      </c>
    </row>
    <row r="10" spans="1:12" x14ac:dyDescent="0.45">
      <c r="A10" s="8" t="s">
        <v>220</v>
      </c>
      <c r="B10" s="9">
        <v>2</v>
      </c>
      <c r="C10" s="10">
        <v>4</v>
      </c>
      <c r="D10" s="12">
        <f>3^C10</f>
        <v>81</v>
      </c>
      <c r="E10" s="19">
        <v>200</v>
      </c>
      <c r="F10" s="12">
        <f>C10</f>
        <v>4</v>
      </c>
    </row>
    <row r="11" spans="1:12" x14ac:dyDescent="0.45">
      <c r="A11" s="8" t="s">
        <v>263</v>
      </c>
      <c r="B11" s="9">
        <v>1</v>
      </c>
      <c r="C11" s="10">
        <v>0</v>
      </c>
      <c r="D11" s="18" t="s">
        <v>264</v>
      </c>
      <c r="E11" s="19">
        <v>999</v>
      </c>
      <c r="F11" s="12">
        <v>0</v>
      </c>
    </row>
    <row r="13" spans="1:12" x14ac:dyDescent="0.45">
      <c r="A13" s="3" t="s">
        <v>265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45">
      <c r="A14" s="6" t="s">
        <v>210</v>
      </c>
      <c r="B14" s="6" t="s">
        <v>216</v>
      </c>
      <c r="C14" s="6" t="s">
        <v>217</v>
      </c>
      <c r="D14" s="6" t="s">
        <v>218</v>
      </c>
      <c r="E14" s="6" t="s">
        <v>219</v>
      </c>
      <c r="F14" s="6" t="s">
        <v>220</v>
      </c>
      <c r="G14" s="6" t="s">
        <v>266</v>
      </c>
    </row>
    <row r="15" spans="1:12" x14ac:dyDescent="0.45">
      <c r="A15" s="10">
        <v>1</v>
      </c>
      <c r="B15" s="12">
        <f t="shared" ref="B15:B34" si="0">A15</f>
        <v>1</v>
      </c>
      <c r="C15" s="12">
        <f t="shared" ref="C15:C34" si="1">MAX(ROUND(A15*$B$7,0),B15+1)</f>
        <v>2</v>
      </c>
      <c r="D15" s="12">
        <f t="shared" ref="D15:D34" si="2">MAX(ROUND(A15*$B$8,0),C15+1)</f>
        <v>3</v>
      </c>
      <c r="E15" s="12">
        <f t="shared" ref="E15:E34" si="3">MAX(ROUND(A15*$B$9,0),D15+1)</f>
        <v>4</v>
      </c>
      <c r="F15" s="12">
        <f t="shared" ref="F15:F34" si="4">MAX(ROUND(A15*$B$10,0),E15+1)</f>
        <v>5</v>
      </c>
      <c r="G15" s="12">
        <f t="shared" ref="G15:G34" si="5">F15-B15</f>
        <v>4</v>
      </c>
    </row>
    <row r="16" spans="1:12" x14ac:dyDescent="0.45">
      <c r="A16" s="10">
        <v>2</v>
      </c>
      <c r="B16" s="12">
        <f t="shared" si="0"/>
        <v>2</v>
      </c>
      <c r="C16" s="12">
        <f t="shared" si="1"/>
        <v>3</v>
      </c>
      <c r="D16" s="12">
        <f t="shared" si="2"/>
        <v>4</v>
      </c>
      <c r="E16" s="12">
        <f t="shared" si="3"/>
        <v>5</v>
      </c>
      <c r="F16" s="12">
        <f t="shared" si="4"/>
        <v>6</v>
      </c>
      <c r="G16" s="12">
        <f t="shared" si="5"/>
        <v>4</v>
      </c>
    </row>
    <row r="17" spans="1:7" x14ac:dyDescent="0.45">
      <c r="A17" s="10">
        <v>3</v>
      </c>
      <c r="B17" s="12">
        <f t="shared" si="0"/>
        <v>3</v>
      </c>
      <c r="C17" s="12">
        <f t="shared" si="1"/>
        <v>4</v>
      </c>
      <c r="D17" s="12">
        <f t="shared" si="2"/>
        <v>5</v>
      </c>
      <c r="E17" s="12">
        <f t="shared" si="3"/>
        <v>6</v>
      </c>
      <c r="F17" s="12">
        <f t="shared" si="4"/>
        <v>7</v>
      </c>
      <c r="G17" s="12">
        <f t="shared" si="5"/>
        <v>4</v>
      </c>
    </row>
    <row r="18" spans="1:7" x14ac:dyDescent="0.45">
      <c r="A18" s="10">
        <v>4</v>
      </c>
      <c r="B18" s="12">
        <f t="shared" si="0"/>
        <v>4</v>
      </c>
      <c r="C18" s="12">
        <f t="shared" si="1"/>
        <v>5</v>
      </c>
      <c r="D18" s="12">
        <f t="shared" si="2"/>
        <v>6</v>
      </c>
      <c r="E18" s="12">
        <f t="shared" si="3"/>
        <v>7</v>
      </c>
      <c r="F18" s="12">
        <f t="shared" si="4"/>
        <v>8</v>
      </c>
      <c r="G18" s="12">
        <f t="shared" si="5"/>
        <v>4</v>
      </c>
    </row>
    <row r="19" spans="1:7" x14ac:dyDescent="0.45">
      <c r="A19" s="10">
        <v>5</v>
      </c>
      <c r="B19" s="12">
        <f t="shared" si="0"/>
        <v>5</v>
      </c>
      <c r="C19" s="12">
        <f t="shared" si="1"/>
        <v>6</v>
      </c>
      <c r="D19" s="12">
        <f t="shared" si="2"/>
        <v>7</v>
      </c>
      <c r="E19" s="12">
        <f t="shared" si="3"/>
        <v>8</v>
      </c>
      <c r="F19" s="12">
        <f t="shared" si="4"/>
        <v>10</v>
      </c>
      <c r="G19" s="12">
        <f t="shared" si="5"/>
        <v>5</v>
      </c>
    </row>
    <row r="20" spans="1:7" x14ac:dyDescent="0.45">
      <c r="A20" s="10">
        <v>6</v>
      </c>
      <c r="B20" s="12">
        <f t="shared" si="0"/>
        <v>6</v>
      </c>
      <c r="C20" s="12">
        <f t="shared" si="1"/>
        <v>7</v>
      </c>
      <c r="D20" s="12">
        <f t="shared" si="2"/>
        <v>8</v>
      </c>
      <c r="E20" s="12">
        <f t="shared" si="3"/>
        <v>10</v>
      </c>
      <c r="F20" s="12">
        <f t="shared" si="4"/>
        <v>12</v>
      </c>
      <c r="G20" s="12">
        <f t="shared" si="5"/>
        <v>6</v>
      </c>
    </row>
    <row r="21" spans="1:7" x14ac:dyDescent="0.45">
      <c r="A21" s="10">
        <v>7</v>
      </c>
      <c r="B21" s="12">
        <f t="shared" si="0"/>
        <v>7</v>
      </c>
      <c r="C21" s="12">
        <f t="shared" si="1"/>
        <v>8</v>
      </c>
      <c r="D21" s="12">
        <f t="shared" si="2"/>
        <v>10</v>
      </c>
      <c r="E21" s="12">
        <f t="shared" si="3"/>
        <v>11</v>
      </c>
      <c r="F21" s="12">
        <f t="shared" si="4"/>
        <v>14</v>
      </c>
      <c r="G21" s="12">
        <f t="shared" si="5"/>
        <v>7</v>
      </c>
    </row>
    <row r="22" spans="1:7" x14ac:dyDescent="0.45">
      <c r="A22" s="10">
        <v>8</v>
      </c>
      <c r="B22" s="12">
        <f t="shared" si="0"/>
        <v>8</v>
      </c>
      <c r="C22" s="12">
        <f t="shared" si="1"/>
        <v>10</v>
      </c>
      <c r="D22" s="12">
        <f t="shared" si="2"/>
        <v>11</v>
      </c>
      <c r="E22" s="12">
        <f t="shared" si="3"/>
        <v>13</v>
      </c>
      <c r="F22" s="12">
        <f t="shared" si="4"/>
        <v>16</v>
      </c>
      <c r="G22" s="12">
        <f t="shared" si="5"/>
        <v>8</v>
      </c>
    </row>
    <row r="23" spans="1:7" x14ac:dyDescent="0.45">
      <c r="A23" s="10">
        <v>9</v>
      </c>
      <c r="B23" s="12">
        <f t="shared" si="0"/>
        <v>9</v>
      </c>
      <c r="C23" s="12">
        <f t="shared" si="1"/>
        <v>11</v>
      </c>
      <c r="D23" s="12">
        <f t="shared" si="2"/>
        <v>13</v>
      </c>
      <c r="E23" s="12">
        <f t="shared" si="3"/>
        <v>14</v>
      </c>
      <c r="F23" s="12">
        <f t="shared" si="4"/>
        <v>18</v>
      </c>
      <c r="G23" s="12">
        <f t="shared" si="5"/>
        <v>9</v>
      </c>
    </row>
    <row r="24" spans="1:7" x14ac:dyDescent="0.45">
      <c r="A24" s="10">
        <v>10</v>
      </c>
      <c r="B24" s="12">
        <f t="shared" si="0"/>
        <v>10</v>
      </c>
      <c r="C24" s="12">
        <f t="shared" si="1"/>
        <v>12</v>
      </c>
      <c r="D24" s="12">
        <f t="shared" si="2"/>
        <v>14</v>
      </c>
      <c r="E24" s="12">
        <f t="shared" si="3"/>
        <v>16</v>
      </c>
      <c r="F24" s="12">
        <f t="shared" si="4"/>
        <v>20</v>
      </c>
      <c r="G24" s="12">
        <f t="shared" si="5"/>
        <v>10</v>
      </c>
    </row>
    <row r="25" spans="1:7" x14ac:dyDescent="0.45">
      <c r="A25" s="10">
        <v>11</v>
      </c>
      <c r="B25" s="12">
        <f t="shared" si="0"/>
        <v>11</v>
      </c>
      <c r="C25" s="12">
        <f t="shared" si="1"/>
        <v>13</v>
      </c>
      <c r="D25" s="12">
        <f t="shared" si="2"/>
        <v>15</v>
      </c>
      <c r="E25" s="12">
        <f t="shared" si="3"/>
        <v>18</v>
      </c>
      <c r="F25" s="12">
        <f t="shared" si="4"/>
        <v>22</v>
      </c>
      <c r="G25" s="12">
        <f t="shared" si="5"/>
        <v>11</v>
      </c>
    </row>
    <row r="26" spans="1:7" x14ac:dyDescent="0.45">
      <c r="A26" s="10">
        <v>12</v>
      </c>
      <c r="B26" s="12">
        <f t="shared" si="0"/>
        <v>12</v>
      </c>
      <c r="C26" s="12">
        <f t="shared" si="1"/>
        <v>14</v>
      </c>
      <c r="D26" s="12">
        <f t="shared" si="2"/>
        <v>17</v>
      </c>
      <c r="E26" s="12">
        <f t="shared" si="3"/>
        <v>19</v>
      </c>
      <c r="F26" s="12">
        <f t="shared" si="4"/>
        <v>24</v>
      </c>
      <c r="G26" s="12">
        <f t="shared" si="5"/>
        <v>12</v>
      </c>
    </row>
    <row r="27" spans="1:7" x14ac:dyDescent="0.45">
      <c r="A27" s="10">
        <v>13</v>
      </c>
      <c r="B27" s="12">
        <f t="shared" si="0"/>
        <v>13</v>
      </c>
      <c r="C27" s="12">
        <f t="shared" si="1"/>
        <v>16</v>
      </c>
      <c r="D27" s="12">
        <f t="shared" si="2"/>
        <v>18</v>
      </c>
      <c r="E27" s="12">
        <f t="shared" si="3"/>
        <v>21</v>
      </c>
      <c r="F27" s="12">
        <f t="shared" si="4"/>
        <v>26</v>
      </c>
      <c r="G27" s="12">
        <f t="shared" si="5"/>
        <v>13</v>
      </c>
    </row>
    <row r="28" spans="1:7" x14ac:dyDescent="0.45">
      <c r="A28" s="10">
        <v>14</v>
      </c>
      <c r="B28" s="12">
        <f t="shared" si="0"/>
        <v>14</v>
      </c>
      <c r="C28" s="12">
        <f t="shared" si="1"/>
        <v>17</v>
      </c>
      <c r="D28" s="12">
        <f t="shared" si="2"/>
        <v>20</v>
      </c>
      <c r="E28" s="12">
        <f t="shared" si="3"/>
        <v>22</v>
      </c>
      <c r="F28" s="12">
        <f t="shared" si="4"/>
        <v>28</v>
      </c>
      <c r="G28" s="12">
        <f t="shared" si="5"/>
        <v>14</v>
      </c>
    </row>
    <row r="29" spans="1:7" x14ac:dyDescent="0.45">
      <c r="A29" s="10">
        <v>15</v>
      </c>
      <c r="B29" s="12">
        <f t="shared" si="0"/>
        <v>15</v>
      </c>
      <c r="C29" s="12">
        <f t="shared" si="1"/>
        <v>18</v>
      </c>
      <c r="D29" s="12">
        <f t="shared" si="2"/>
        <v>21</v>
      </c>
      <c r="E29" s="12">
        <f t="shared" si="3"/>
        <v>24</v>
      </c>
      <c r="F29" s="12">
        <f t="shared" si="4"/>
        <v>30</v>
      </c>
      <c r="G29" s="12">
        <f t="shared" si="5"/>
        <v>15</v>
      </c>
    </row>
    <row r="30" spans="1:7" x14ac:dyDescent="0.45">
      <c r="A30" s="10">
        <v>16</v>
      </c>
      <c r="B30" s="12">
        <f t="shared" si="0"/>
        <v>16</v>
      </c>
      <c r="C30" s="12">
        <f t="shared" si="1"/>
        <v>19</v>
      </c>
      <c r="D30" s="12">
        <f t="shared" si="2"/>
        <v>22</v>
      </c>
      <c r="E30" s="12">
        <f t="shared" si="3"/>
        <v>26</v>
      </c>
      <c r="F30" s="12">
        <f t="shared" si="4"/>
        <v>32</v>
      </c>
      <c r="G30" s="12">
        <f t="shared" si="5"/>
        <v>16</v>
      </c>
    </row>
    <row r="31" spans="1:7" x14ac:dyDescent="0.45">
      <c r="A31" s="10">
        <v>17</v>
      </c>
      <c r="B31" s="12">
        <f t="shared" si="0"/>
        <v>17</v>
      </c>
      <c r="C31" s="12">
        <f t="shared" si="1"/>
        <v>20</v>
      </c>
      <c r="D31" s="12">
        <f t="shared" si="2"/>
        <v>24</v>
      </c>
      <c r="E31" s="12">
        <f t="shared" si="3"/>
        <v>27</v>
      </c>
      <c r="F31" s="12">
        <f t="shared" si="4"/>
        <v>34</v>
      </c>
      <c r="G31" s="12">
        <f t="shared" si="5"/>
        <v>17</v>
      </c>
    </row>
    <row r="32" spans="1:7" x14ac:dyDescent="0.45">
      <c r="A32" s="10">
        <v>18</v>
      </c>
      <c r="B32" s="12">
        <f t="shared" si="0"/>
        <v>18</v>
      </c>
      <c r="C32" s="12">
        <f t="shared" si="1"/>
        <v>22</v>
      </c>
      <c r="D32" s="12">
        <f t="shared" si="2"/>
        <v>25</v>
      </c>
      <c r="E32" s="12">
        <f t="shared" si="3"/>
        <v>29</v>
      </c>
      <c r="F32" s="12">
        <f t="shared" si="4"/>
        <v>36</v>
      </c>
      <c r="G32" s="12">
        <f t="shared" si="5"/>
        <v>18</v>
      </c>
    </row>
    <row r="33" spans="1:12" x14ac:dyDescent="0.45">
      <c r="A33" s="10">
        <v>19</v>
      </c>
      <c r="B33" s="12">
        <f t="shared" si="0"/>
        <v>19</v>
      </c>
      <c r="C33" s="12">
        <f t="shared" si="1"/>
        <v>23</v>
      </c>
      <c r="D33" s="12">
        <f t="shared" si="2"/>
        <v>27</v>
      </c>
      <c r="E33" s="12">
        <f t="shared" si="3"/>
        <v>30</v>
      </c>
      <c r="F33" s="12">
        <f t="shared" si="4"/>
        <v>38</v>
      </c>
      <c r="G33" s="12">
        <f t="shared" si="5"/>
        <v>19</v>
      </c>
    </row>
    <row r="34" spans="1:12" x14ac:dyDescent="0.45">
      <c r="A34" s="10">
        <v>20</v>
      </c>
      <c r="B34" s="12">
        <f t="shared" si="0"/>
        <v>20</v>
      </c>
      <c r="C34" s="12">
        <f t="shared" si="1"/>
        <v>24</v>
      </c>
      <c r="D34" s="12">
        <f t="shared" si="2"/>
        <v>28</v>
      </c>
      <c r="E34" s="12">
        <f t="shared" si="3"/>
        <v>32</v>
      </c>
      <c r="F34" s="12">
        <f t="shared" si="4"/>
        <v>40</v>
      </c>
      <c r="G34" s="12">
        <f t="shared" si="5"/>
        <v>20</v>
      </c>
    </row>
    <row r="35" spans="1:12" x14ac:dyDescent="0.45">
      <c r="A35" s="2" t="s">
        <v>267</v>
      </c>
    </row>
    <row r="37" spans="1:12" x14ac:dyDescent="0.45">
      <c r="A37" s="3" t="s">
        <v>268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45">
      <c r="A38" s="6" t="s">
        <v>269</v>
      </c>
      <c r="B38" s="6" t="s">
        <v>270</v>
      </c>
      <c r="C38" s="6" t="s">
        <v>271</v>
      </c>
      <c r="D38" s="6" t="s">
        <v>258</v>
      </c>
      <c r="E38" s="6" t="s">
        <v>272</v>
      </c>
      <c r="F38" s="6" t="s">
        <v>210</v>
      </c>
      <c r="G38" s="6" t="s">
        <v>216</v>
      </c>
      <c r="H38" s="6" t="s">
        <v>217</v>
      </c>
      <c r="I38" s="6" t="s">
        <v>218</v>
      </c>
      <c r="J38" s="6" t="s">
        <v>219</v>
      </c>
      <c r="K38" s="6" t="s">
        <v>220</v>
      </c>
      <c r="L38" s="6" t="s">
        <v>273</v>
      </c>
    </row>
    <row r="39" spans="1:12" x14ac:dyDescent="0.45">
      <c r="A39" s="7" t="s">
        <v>274</v>
      </c>
      <c r="B39" s="8" t="s">
        <v>275</v>
      </c>
      <c r="C39" s="10">
        <v>1</v>
      </c>
      <c r="D39" s="8" t="s">
        <v>216</v>
      </c>
      <c r="E39" s="8" t="s">
        <v>276</v>
      </c>
      <c r="F39" s="10">
        <v>4</v>
      </c>
      <c r="G39" s="12">
        <f t="shared" ref="G39:G73" si="6">F39</f>
        <v>4</v>
      </c>
      <c r="H39" s="12">
        <f>MAX(ROUND(F39*$B$7,0),G39+1)</f>
        <v>5</v>
      </c>
      <c r="I39" s="12">
        <f>MAX(ROUND(F39*$B$8,0),H39+1)</f>
        <v>6</v>
      </c>
      <c r="J39" s="12">
        <f>MAX(ROUND(F39*$B$9,0),I39+1)</f>
        <v>7</v>
      </c>
      <c r="K39" s="12">
        <f>MAX(ROUND(F39*$B$10,0),J39+1)</f>
        <v>8</v>
      </c>
      <c r="L39" s="18"/>
    </row>
    <row r="40" spans="1:12" x14ac:dyDescent="0.45">
      <c r="A40" s="8"/>
      <c r="B40" s="8"/>
      <c r="C40" s="10"/>
      <c r="D40" s="8"/>
      <c r="E40" s="8" t="s">
        <v>277</v>
      </c>
      <c r="F40" s="10">
        <v>1</v>
      </c>
      <c r="G40" s="12">
        <f t="shared" si="6"/>
        <v>1</v>
      </c>
      <c r="H40" s="12">
        <f>F40</f>
        <v>1</v>
      </c>
      <c r="I40" s="12">
        <f>F40</f>
        <v>1</v>
      </c>
      <c r="J40" s="12">
        <f>F40</f>
        <v>1</v>
      </c>
      <c r="K40" s="12">
        <f>F40</f>
        <v>1</v>
      </c>
      <c r="L40" s="18" t="s">
        <v>278</v>
      </c>
    </row>
    <row r="41" spans="1:12" x14ac:dyDescent="0.45">
      <c r="A41" s="7" t="s">
        <v>279</v>
      </c>
      <c r="B41" s="8" t="s">
        <v>275</v>
      </c>
      <c r="C41" s="10">
        <v>0</v>
      </c>
      <c r="D41" s="8" t="s">
        <v>216</v>
      </c>
      <c r="E41" s="8" t="s">
        <v>277</v>
      </c>
      <c r="F41" s="10">
        <v>2</v>
      </c>
      <c r="G41" s="12">
        <f t="shared" si="6"/>
        <v>2</v>
      </c>
      <c r="H41" s="12">
        <f>F41</f>
        <v>2</v>
      </c>
      <c r="I41" s="12">
        <f>F41</f>
        <v>2</v>
      </c>
      <c r="J41" s="12">
        <f>F41</f>
        <v>2</v>
      </c>
      <c r="K41" s="12">
        <f>F41</f>
        <v>2</v>
      </c>
      <c r="L41" s="18" t="s">
        <v>278</v>
      </c>
    </row>
    <row r="42" spans="1:12" x14ac:dyDescent="0.45">
      <c r="A42" s="7" t="s">
        <v>280</v>
      </c>
      <c r="B42" s="8" t="s">
        <v>275</v>
      </c>
      <c r="C42" s="10">
        <v>1</v>
      </c>
      <c r="D42" s="8" t="s">
        <v>216</v>
      </c>
      <c r="E42" s="8" t="s">
        <v>276</v>
      </c>
      <c r="F42" s="10">
        <v>5</v>
      </c>
      <c r="G42" s="12">
        <f t="shared" si="6"/>
        <v>5</v>
      </c>
      <c r="H42" s="12">
        <f>MAX(ROUND(F42*$B$7,0),G42+1)</f>
        <v>6</v>
      </c>
      <c r="I42" s="12">
        <f>MAX(ROUND(F42*$B$8,0),H42+1)</f>
        <v>7</v>
      </c>
      <c r="J42" s="12">
        <f>MAX(ROUND(F42*$B$9,0),I42+1)</f>
        <v>8</v>
      </c>
      <c r="K42" s="12">
        <f>MAX(ROUND(F42*$B$10,0),J42+1)</f>
        <v>10</v>
      </c>
      <c r="L42" s="18"/>
    </row>
    <row r="43" spans="1:12" x14ac:dyDescent="0.45">
      <c r="A43" s="7" t="s">
        <v>281</v>
      </c>
      <c r="B43" s="8" t="s">
        <v>282</v>
      </c>
      <c r="C43" s="10">
        <v>2</v>
      </c>
      <c r="D43" s="8" t="s">
        <v>216</v>
      </c>
      <c r="E43" s="8" t="s">
        <v>283</v>
      </c>
      <c r="F43" s="10">
        <v>2</v>
      </c>
      <c r="G43" s="12">
        <f t="shared" si="6"/>
        <v>2</v>
      </c>
      <c r="H43" s="12">
        <f>MAX(ROUND(F43*$B$7,0),G43+1)</f>
        <v>3</v>
      </c>
      <c r="I43" s="12">
        <f>MAX(ROUND(F43*$B$8,0),H43+1)</f>
        <v>4</v>
      </c>
      <c r="J43" s="12">
        <f>MAX(ROUND(F43*$B$9,0),I43+1)</f>
        <v>5</v>
      </c>
      <c r="K43" s="12">
        <f>MAX(ROUND(F43*$B$10,0),J43+1)</f>
        <v>6</v>
      </c>
      <c r="L43" s="18"/>
    </row>
    <row r="44" spans="1:12" x14ac:dyDescent="0.45">
      <c r="A44" s="7" t="s">
        <v>284</v>
      </c>
      <c r="B44" s="8" t="s">
        <v>285</v>
      </c>
      <c r="C44" s="10">
        <v>2</v>
      </c>
      <c r="D44" s="8" t="s">
        <v>216</v>
      </c>
      <c r="E44" s="8" t="s">
        <v>286</v>
      </c>
      <c r="F44" s="10">
        <v>6</v>
      </c>
      <c r="G44" s="12">
        <f t="shared" si="6"/>
        <v>6</v>
      </c>
      <c r="H44" s="12">
        <f>MAX(ROUND(F44*$B$7,0),G44+1)</f>
        <v>7</v>
      </c>
      <c r="I44" s="12">
        <f>MAX(ROUND(F44*$B$8,0),H44+1)</f>
        <v>8</v>
      </c>
      <c r="J44" s="12">
        <f>MAX(ROUND(F44*$B$9,0),I44+1)</f>
        <v>10</v>
      </c>
      <c r="K44" s="12">
        <f>MAX(ROUND(F44*$B$10,0),J44+1)</f>
        <v>12</v>
      </c>
      <c r="L44" s="18"/>
    </row>
    <row r="45" spans="1:12" x14ac:dyDescent="0.45">
      <c r="A45" s="8"/>
      <c r="B45" s="8"/>
      <c r="C45" s="10"/>
      <c r="D45" s="8"/>
      <c r="E45" s="8" t="s">
        <v>287</v>
      </c>
      <c r="F45" s="10">
        <v>2</v>
      </c>
      <c r="G45" s="12">
        <f t="shared" si="6"/>
        <v>2</v>
      </c>
      <c r="H45" s="12">
        <f>MAX(ROUND(F45*$B$7,0),G45+1)</f>
        <v>3</v>
      </c>
      <c r="I45" s="12">
        <f>MAX(ROUND(F45*$B$8,0),H45+1)</f>
        <v>4</v>
      </c>
      <c r="J45" s="12">
        <f>MAX(ROUND(F45*$B$9,0),I45+1)</f>
        <v>5</v>
      </c>
      <c r="K45" s="12">
        <f>MAX(ROUND(F45*$B$10,0),J45+1)</f>
        <v>6</v>
      </c>
      <c r="L45" s="18"/>
    </row>
    <row r="46" spans="1:12" x14ac:dyDescent="0.45">
      <c r="A46" s="7" t="s">
        <v>288</v>
      </c>
      <c r="B46" s="8" t="s">
        <v>275</v>
      </c>
      <c r="C46" s="10">
        <v>0</v>
      </c>
      <c r="D46" s="8" t="s">
        <v>216</v>
      </c>
      <c r="E46" s="8" t="s">
        <v>289</v>
      </c>
      <c r="F46" s="10">
        <v>1</v>
      </c>
      <c r="G46" s="12">
        <f t="shared" si="6"/>
        <v>1</v>
      </c>
      <c r="H46" s="12">
        <f>F46</f>
        <v>1</v>
      </c>
      <c r="I46" s="12">
        <f>F46</f>
        <v>1</v>
      </c>
      <c r="J46" s="12">
        <f>F46</f>
        <v>1</v>
      </c>
      <c r="K46" s="12">
        <f>F46</f>
        <v>1</v>
      </c>
      <c r="L46" s="18" t="s">
        <v>278</v>
      </c>
    </row>
    <row r="47" spans="1:12" x14ac:dyDescent="0.45">
      <c r="A47" s="7" t="s">
        <v>290</v>
      </c>
      <c r="B47" s="8" t="s">
        <v>275</v>
      </c>
      <c r="C47" s="10">
        <v>1</v>
      </c>
      <c r="D47" s="8" t="s">
        <v>216</v>
      </c>
      <c r="E47" s="8" t="s">
        <v>291</v>
      </c>
      <c r="F47" s="10">
        <v>3</v>
      </c>
      <c r="G47" s="12">
        <f t="shared" si="6"/>
        <v>3</v>
      </c>
      <c r="H47" s="12">
        <f t="shared" ref="H47:H55" si="7">MAX(ROUND(F47*$B$7,0),G47+1)</f>
        <v>4</v>
      </c>
      <c r="I47" s="12">
        <f t="shared" ref="I47:I55" si="8">MAX(ROUND(F47*$B$8,0),H47+1)</f>
        <v>5</v>
      </c>
      <c r="J47" s="12">
        <f t="shared" ref="J47:J55" si="9">MAX(ROUND(F47*$B$9,0),I47+1)</f>
        <v>6</v>
      </c>
      <c r="K47" s="12">
        <f t="shared" ref="K47:K55" si="10">MAX(ROUND(F47*$B$10,0),J47+1)</f>
        <v>7</v>
      </c>
      <c r="L47" s="18"/>
    </row>
    <row r="48" spans="1:12" x14ac:dyDescent="0.45">
      <c r="A48" s="7" t="s">
        <v>292</v>
      </c>
      <c r="B48" s="8" t="s">
        <v>285</v>
      </c>
      <c r="C48" s="10">
        <v>2</v>
      </c>
      <c r="D48" s="8" t="s">
        <v>216</v>
      </c>
      <c r="E48" s="8" t="s">
        <v>286</v>
      </c>
      <c r="F48" s="10">
        <v>12</v>
      </c>
      <c r="G48" s="12">
        <f t="shared" si="6"/>
        <v>12</v>
      </c>
      <c r="H48" s="12">
        <f t="shared" si="7"/>
        <v>14</v>
      </c>
      <c r="I48" s="12">
        <f t="shared" si="8"/>
        <v>17</v>
      </c>
      <c r="J48" s="12">
        <f t="shared" si="9"/>
        <v>19</v>
      </c>
      <c r="K48" s="12">
        <f t="shared" si="10"/>
        <v>24</v>
      </c>
      <c r="L48" s="18"/>
    </row>
    <row r="49" spans="1:12" x14ac:dyDescent="0.45">
      <c r="A49" s="7" t="s">
        <v>293</v>
      </c>
      <c r="B49" s="8" t="s">
        <v>285</v>
      </c>
      <c r="C49" s="10">
        <v>1</v>
      </c>
      <c r="D49" s="8" t="s">
        <v>216</v>
      </c>
      <c r="E49" s="8" t="s">
        <v>286</v>
      </c>
      <c r="F49" s="10">
        <v>4</v>
      </c>
      <c r="G49" s="12">
        <f t="shared" si="6"/>
        <v>4</v>
      </c>
      <c r="H49" s="12">
        <f t="shared" si="7"/>
        <v>5</v>
      </c>
      <c r="I49" s="12">
        <f t="shared" si="8"/>
        <v>6</v>
      </c>
      <c r="J49" s="12">
        <f t="shared" si="9"/>
        <v>7</v>
      </c>
      <c r="K49" s="12">
        <f t="shared" si="10"/>
        <v>8</v>
      </c>
      <c r="L49" s="18"/>
    </row>
    <row r="50" spans="1:12" x14ac:dyDescent="0.45">
      <c r="A50" s="8"/>
      <c r="B50" s="8"/>
      <c r="C50" s="10"/>
      <c r="D50" s="8"/>
      <c r="E50" s="8" t="s">
        <v>294</v>
      </c>
      <c r="F50" s="10">
        <v>1</v>
      </c>
      <c r="G50" s="12">
        <f t="shared" si="6"/>
        <v>1</v>
      </c>
      <c r="H50" s="12">
        <f t="shared" si="7"/>
        <v>2</v>
      </c>
      <c r="I50" s="12">
        <f t="shared" si="8"/>
        <v>3</v>
      </c>
      <c r="J50" s="12">
        <f t="shared" si="9"/>
        <v>4</v>
      </c>
      <c r="K50" s="12">
        <f t="shared" si="10"/>
        <v>5</v>
      </c>
      <c r="L50" s="18"/>
    </row>
    <row r="51" spans="1:12" x14ac:dyDescent="0.45">
      <c r="A51" s="7" t="s">
        <v>295</v>
      </c>
      <c r="B51" s="8" t="s">
        <v>275</v>
      </c>
      <c r="C51" s="10">
        <v>2</v>
      </c>
      <c r="D51" s="8" t="s">
        <v>216</v>
      </c>
      <c r="E51" s="8" t="s">
        <v>276</v>
      </c>
      <c r="F51" s="10">
        <v>10</v>
      </c>
      <c r="G51" s="12">
        <f t="shared" si="6"/>
        <v>10</v>
      </c>
      <c r="H51" s="12">
        <f t="shared" si="7"/>
        <v>12</v>
      </c>
      <c r="I51" s="12">
        <f t="shared" si="8"/>
        <v>14</v>
      </c>
      <c r="J51" s="12">
        <f t="shared" si="9"/>
        <v>16</v>
      </c>
      <c r="K51" s="12">
        <f t="shared" si="10"/>
        <v>20</v>
      </c>
      <c r="L51" s="18"/>
    </row>
    <row r="52" spans="1:12" x14ac:dyDescent="0.45">
      <c r="A52" s="7" t="s">
        <v>296</v>
      </c>
      <c r="B52" s="8" t="s">
        <v>282</v>
      </c>
      <c r="C52" s="10">
        <v>1</v>
      </c>
      <c r="D52" s="8" t="s">
        <v>216</v>
      </c>
      <c r="E52" s="8" t="s">
        <v>297</v>
      </c>
      <c r="F52" s="10">
        <v>2</v>
      </c>
      <c r="G52" s="12">
        <f t="shared" si="6"/>
        <v>2</v>
      </c>
      <c r="H52" s="12">
        <f t="shared" si="7"/>
        <v>3</v>
      </c>
      <c r="I52" s="12">
        <f t="shared" si="8"/>
        <v>4</v>
      </c>
      <c r="J52" s="12">
        <f t="shared" si="9"/>
        <v>5</v>
      </c>
      <c r="K52" s="12">
        <f t="shared" si="10"/>
        <v>6</v>
      </c>
      <c r="L52" s="18"/>
    </row>
    <row r="53" spans="1:12" x14ac:dyDescent="0.45">
      <c r="A53" s="7" t="s">
        <v>298</v>
      </c>
      <c r="B53" s="8" t="s">
        <v>285</v>
      </c>
      <c r="C53" s="10">
        <v>1</v>
      </c>
      <c r="D53" s="8" t="s">
        <v>216</v>
      </c>
      <c r="E53" s="8" t="s">
        <v>286</v>
      </c>
      <c r="F53" s="10">
        <v>3</v>
      </c>
      <c r="G53" s="12">
        <f t="shared" si="6"/>
        <v>3</v>
      </c>
      <c r="H53" s="12">
        <f t="shared" si="7"/>
        <v>4</v>
      </c>
      <c r="I53" s="12">
        <f t="shared" si="8"/>
        <v>5</v>
      </c>
      <c r="J53" s="12">
        <f t="shared" si="9"/>
        <v>6</v>
      </c>
      <c r="K53" s="12">
        <f t="shared" si="10"/>
        <v>7</v>
      </c>
      <c r="L53" s="18"/>
    </row>
    <row r="54" spans="1:12" x14ac:dyDescent="0.45">
      <c r="A54" s="8"/>
      <c r="B54" s="8"/>
      <c r="C54" s="10"/>
      <c r="D54" s="8"/>
      <c r="E54" s="8" t="s">
        <v>299</v>
      </c>
      <c r="F54" s="10">
        <v>1</v>
      </c>
      <c r="G54" s="12">
        <f t="shared" si="6"/>
        <v>1</v>
      </c>
      <c r="H54" s="12">
        <f t="shared" si="7"/>
        <v>2</v>
      </c>
      <c r="I54" s="12">
        <f t="shared" si="8"/>
        <v>3</v>
      </c>
      <c r="J54" s="12">
        <f t="shared" si="9"/>
        <v>4</v>
      </c>
      <c r="K54" s="12">
        <f t="shared" si="10"/>
        <v>5</v>
      </c>
      <c r="L54" s="18"/>
    </row>
    <row r="55" spans="1:12" x14ac:dyDescent="0.45">
      <c r="A55" s="7" t="s">
        <v>300</v>
      </c>
      <c r="B55" s="8" t="s">
        <v>285</v>
      </c>
      <c r="C55" s="10">
        <v>1</v>
      </c>
      <c r="D55" s="8" t="s">
        <v>216</v>
      </c>
      <c r="E55" s="8" t="s">
        <v>286</v>
      </c>
      <c r="F55" s="10">
        <v>3</v>
      </c>
      <c r="G55" s="12">
        <f t="shared" si="6"/>
        <v>3</v>
      </c>
      <c r="H55" s="12">
        <f t="shared" si="7"/>
        <v>4</v>
      </c>
      <c r="I55" s="12">
        <f t="shared" si="8"/>
        <v>5</v>
      </c>
      <c r="J55" s="12">
        <f t="shared" si="9"/>
        <v>6</v>
      </c>
      <c r="K55" s="12">
        <f t="shared" si="10"/>
        <v>7</v>
      </c>
      <c r="L55" s="18"/>
    </row>
    <row r="56" spans="1:12" x14ac:dyDescent="0.45">
      <c r="A56" s="8"/>
      <c r="B56" s="8"/>
      <c r="C56" s="10"/>
      <c r="D56" s="8"/>
      <c r="E56" s="8" t="s">
        <v>277</v>
      </c>
      <c r="F56" s="10">
        <v>1</v>
      </c>
      <c r="G56" s="12">
        <f t="shared" si="6"/>
        <v>1</v>
      </c>
      <c r="H56" s="12">
        <f>F56</f>
        <v>1</v>
      </c>
      <c r="I56" s="12">
        <f>F56</f>
        <v>1</v>
      </c>
      <c r="J56" s="12">
        <f>F56</f>
        <v>1</v>
      </c>
      <c r="K56" s="12">
        <f>F56</f>
        <v>1</v>
      </c>
      <c r="L56" s="18" t="s">
        <v>278</v>
      </c>
    </row>
    <row r="57" spans="1:12" x14ac:dyDescent="0.45">
      <c r="A57" s="7" t="s">
        <v>301</v>
      </c>
      <c r="B57" s="8" t="s">
        <v>285</v>
      </c>
      <c r="C57" s="10">
        <v>1</v>
      </c>
      <c r="D57" s="8" t="s">
        <v>216</v>
      </c>
      <c r="E57" s="8" t="s">
        <v>286</v>
      </c>
      <c r="F57" s="10">
        <v>6</v>
      </c>
      <c r="G57" s="12">
        <f t="shared" si="6"/>
        <v>6</v>
      </c>
      <c r="H57" s="12">
        <f t="shared" ref="H57:H62" si="11">MAX(ROUND(F57*$B$7,0),G57+1)</f>
        <v>7</v>
      </c>
      <c r="I57" s="12">
        <f t="shared" ref="I57:I62" si="12">MAX(ROUND(F57*$B$8,0),H57+1)</f>
        <v>8</v>
      </c>
      <c r="J57" s="12">
        <f t="shared" ref="J57:J62" si="13">MAX(ROUND(F57*$B$9,0),I57+1)</f>
        <v>10</v>
      </c>
      <c r="K57" s="12">
        <f t="shared" ref="K57:K62" si="14">MAX(ROUND(F57*$B$10,0),J57+1)</f>
        <v>12</v>
      </c>
      <c r="L57" s="18"/>
    </row>
    <row r="58" spans="1:12" x14ac:dyDescent="0.45">
      <c r="A58" s="7" t="s">
        <v>302</v>
      </c>
      <c r="B58" s="8" t="s">
        <v>285</v>
      </c>
      <c r="C58" s="10">
        <v>1</v>
      </c>
      <c r="D58" s="8" t="s">
        <v>216</v>
      </c>
      <c r="E58" s="8" t="s">
        <v>286</v>
      </c>
      <c r="F58" s="10">
        <v>3</v>
      </c>
      <c r="G58" s="12">
        <f t="shared" si="6"/>
        <v>3</v>
      </c>
      <c r="H58" s="12">
        <f t="shared" si="11"/>
        <v>4</v>
      </c>
      <c r="I58" s="12">
        <f t="shared" si="12"/>
        <v>5</v>
      </c>
      <c r="J58" s="12">
        <f t="shared" si="13"/>
        <v>6</v>
      </c>
      <c r="K58" s="12">
        <f t="shared" si="14"/>
        <v>7</v>
      </c>
      <c r="L58" s="18"/>
    </row>
    <row r="59" spans="1:12" x14ac:dyDescent="0.45">
      <c r="A59" s="7" t="s">
        <v>303</v>
      </c>
      <c r="B59" s="8" t="s">
        <v>285</v>
      </c>
      <c r="C59" s="10">
        <v>1</v>
      </c>
      <c r="D59" s="8" t="s">
        <v>216</v>
      </c>
      <c r="E59" s="8" t="s">
        <v>286</v>
      </c>
      <c r="F59" s="10">
        <v>4</v>
      </c>
      <c r="G59" s="12">
        <f t="shared" si="6"/>
        <v>4</v>
      </c>
      <c r="H59" s="12">
        <f t="shared" si="11"/>
        <v>5</v>
      </c>
      <c r="I59" s="12">
        <f t="shared" si="12"/>
        <v>6</v>
      </c>
      <c r="J59" s="12">
        <f t="shared" si="13"/>
        <v>7</v>
      </c>
      <c r="K59" s="12">
        <f t="shared" si="14"/>
        <v>8</v>
      </c>
      <c r="L59" s="18"/>
    </row>
    <row r="60" spans="1:12" x14ac:dyDescent="0.45">
      <c r="A60" s="8"/>
      <c r="B60" s="8"/>
      <c r="C60" s="10"/>
      <c r="D60" s="8"/>
      <c r="E60" s="8" t="s">
        <v>304</v>
      </c>
      <c r="F60" s="10">
        <v>1</v>
      </c>
      <c r="G60" s="12">
        <f t="shared" si="6"/>
        <v>1</v>
      </c>
      <c r="H60" s="12">
        <f t="shared" si="11"/>
        <v>2</v>
      </c>
      <c r="I60" s="12">
        <f t="shared" si="12"/>
        <v>3</v>
      </c>
      <c r="J60" s="12">
        <f t="shared" si="13"/>
        <v>4</v>
      </c>
      <c r="K60" s="12">
        <f t="shared" si="14"/>
        <v>5</v>
      </c>
      <c r="L60" s="18"/>
    </row>
    <row r="61" spans="1:12" x14ac:dyDescent="0.45">
      <c r="A61" s="7" t="s">
        <v>305</v>
      </c>
      <c r="B61" s="8" t="s">
        <v>285</v>
      </c>
      <c r="C61" s="10">
        <v>2</v>
      </c>
      <c r="D61" s="8" t="s">
        <v>216</v>
      </c>
      <c r="E61" s="8" t="s">
        <v>286</v>
      </c>
      <c r="F61" s="10">
        <v>4</v>
      </c>
      <c r="G61" s="12">
        <f t="shared" si="6"/>
        <v>4</v>
      </c>
      <c r="H61" s="12">
        <f t="shared" si="11"/>
        <v>5</v>
      </c>
      <c r="I61" s="12">
        <f t="shared" si="12"/>
        <v>6</v>
      </c>
      <c r="J61" s="12">
        <f t="shared" si="13"/>
        <v>7</v>
      </c>
      <c r="K61" s="12">
        <f t="shared" si="14"/>
        <v>8</v>
      </c>
      <c r="L61" s="18"/>
    </row>
    <row r="62" spans="1:12" x14ac:dyDescent="0.45">
      <c r="A62" s="8"/>
      <c r="B62" s="8"/>
      <c r="C62" s="10"/>
      <c r="D62" s="8"/>
      <c r="E62" s="8" t="s">
        <v>276</v>
      </c>
      <c r="F62" s="10">
        <v>4</v>
      </c>
      <c r="G62" s="12">
        <f t="shared" si="6"/>
        <v>4</v>
      </c>
      <c r="H62" s="12">
        <f t="shared" si="11"/>
        <v>5</v>
      </c>
      <c r="I62" s="12">
        <f t="shared" si="12"/>
        <v>6</v>
      </c>
      <c r="J62" s="12">
        <f t="shared" si="13"/>
        <v>7</v>
      </c>
      <c r="K62" s="12">
        <f t="shared" si="14"/>
        <v>8</v>
      </c>
      <c r="L62" s="18"/>
    </row>
    <row r="63" spans="1:12" x14ac:dyDescent="0.45">
      <c r="A63" s="7" t="s">
        <v>306</v>
      </c>
      <c r="B63" s="8" t="s">
        <v>275</v>
      </c>
      <c r="C63" s="10">
        <v>1</v>
      </c>
      <c r="D63" s="8" t="s">
        <v>307</v>
      </c>
      <c r="E63" s="8" t="s">
        <v>308</v>
      </c>
      <c r="F63" s="10">
        <v>2</v>
      </c>
      <c r="G63" s="12">
        <f t="shared" si="6"/>
        <v>2</v>
      </c>
      <c r="H63" s="12" t="s">
        <v>309</v>
      </c>
      <c r="I63" s="12" t="s">
        <v>309</v>
      </c>
      <c r="J63" s="12" t="s">
        <v>309</v>
      </c>
      <c r="K63" s="12" t="s">
        <v>309</v>
      </c>
      <c r="L63" s="18" t="s">
        <v>310</v>
      </c>
    </row>
    <row r="64" spans="1:12" x14ac:dyDescent="0.45">
      <c r="A64" s="8"/>
      <c r="B64" s="8"/>
      <c r="C64" s="10"/>
      <c r="D64" s="8"/>
      <c r="E64" s="8" t="s">
        <v>277</v>
      </c>
      <c r="F64" s="10">
        <v>1</v>
      </c>
      <c r="G64" s="12">
        <f t="shared" si="6"/>
        <v>1</v>
      </c>
      <c r="H64" s="12" t="s">
        <v>309</v>
      </c>
      <c r="I64" s="12" t="s">
        <v>309</v>
      </c>
      <c r="J64" s="12" t="s">
        <v>309</v>
      </c>
      <c r="K64" s="12" t="s">
        <v>309</v>
      </c>
      <c r="L64" s="18" t="s">
        <v>310</v>
      </c>
    </row>
    <row r="65" spans="1:12" x14ac:dyDescent="0.45">
      <c r="A65" s="7" t="s">
        <v>311</v>
      </c>
      <c r="B65" s="8" t="s">
        <v>285</v>
      </c>
      <c r="C65" s="10">
        <v>2</v>
      </c>
      <c r="D65" s="8" t="s">
        <v>307</v>
      </c>
      <c r="E65" s="8" t="s">
        <v>286</v>
      </c>
      <c r="F65" s="10">
        <v>15</v>
      </c>
      <c r="G65" s="12">
        <f t="shared" si="6"/>
        <v>15</v>
      </c>
      <c r="H65" s="12" t="s">
        <v>309</v>
      </c>
      <c r="I65" s="12" t="s">
        <v>309</v>
      </c>
      <c r="J65" s="12" t="s">
        <v>309</v>
      </c>
      <c r="K65" s="12" t="s">
        <v>309</v>
      </c>
      <c r="L65" s="18" t="s">
        <v>310</v>
      </c>
    </row>
    <row r="66" spans="1:12" x14ac:dyDescent="0.45">
      <c r="A66" s="7" t="s">
        <v>312</v>
      </c>
      <c r="B66" s="8" t="s">
        <v>285</v>
      </c>
      <c r="C66" s="10">
        <v>1</v>
      </c>
      <c r="D66" s="8" t="s">
        <v>307</v>
      </c>
      <c r="E66" s="8" t="s">
        <v>286</v>
      </c>
      <c r="F66" s="10">
        <v>5</v>
      </c>
      <c r="G66" s="12">
        <f t="shared" si="6"/>
        <v>5</v>
      </c>
      <c r="H66" s="12" t="s">
        <v>309</v>
      </c>
      <c r="I66" s="12" t="s">
        <v>309</v>
      </c>
      <c r="J66" s="12" t="s">
        <v>309</v>
      </c>
      <c r="K66" s="12" t="s">
        <v>309</v>
      </c>
      <c r="L66" s="18" t="s">
        <v>310</v>
      </c>
    </row>
    <row r="67" spans="1:12" x14ac:dyDescent="0.45">
      <c r="A67" s="8"/>
      <c r="B67" s="8"/>
      <c r="C67" s="10"/>
      <c r="D67" s="8"/>
      <c r="E67" s="8" t="s">
        <v>277</v>
      </c>
      <c r="F67" s="10">
        <v>1</v>
      </c>
      <c r="G67" s="12">
        <f t="shared" si="6"/>
        <v>1</v>
      </c>
      <c r="H67" s="12" t="s">
        <v>309</v>
      </c>
      <c r="I67" s="12" t="s">
        <v>309</v>
      </c>
      <c r="J67" s="12" t="s">
        <v>309</v>
      </c>
      <c r="K67" s="12" t="s">
        <v>309</v>
      </c>
      <c r="L67" s="18" t="s">
        <v>310</v>
      </c>
    </row>
    <row r="68" spans="1:12" x14ac:dyDescent="0.45">
      <c r="A68" s="7" t="s">
        <v>313</v>
      </c>
      <c r="B68" s="8" t="s">
        <v>275</v>
      </c>
      <c r="C68" s="10">
        <v>0</v>
      </c>
      <c r="D68" s="8" t="s">
        <v>307</v>
      </c>
      <c r="E68" s="8" t="s">
        <v>289</v>
      </c>
      <c r="F68" s="10">
        <v>1</v>
      </c>
      <c r="G68" s="12">
        <f t="shared" si="6"/>
        <v>1</v>
      </c>
      <c r="H68" s="12" t="s">
        <v>309</v>
      </c>
      <c r="I68" s="12" t="s">
        <v>309</v>
      </c>
      <c r="J68" s="12" t="s">
        <v>309</v>
      </c>
      <c r="K68" s="12" t="s">
        <v>309</v>
      </c>
      <c r="L68" s="18" t="s">
        <v>310</v>
      </c>
    </row>
    <row r="69" spans="1:12" x14ac:dyDescent="0.45">
      <c r="A69" s="8"/>
      <c r="B69" s="8"/>
      <c r="C69" s="10"/>
      <c r="D69" s="8"/>
      <c r="E69" s="8" t="s">
        <v>277</v>
      </c>
      <c r="F69" s="10">
        <v>1</v>
      </c>
      <c r="G69" s="12">
        <f t="shared" si="6"/>
        <v>1</v>
      </c>
      <c r="H69" s="12" t="s">
        <v>309</v>
      </c>
      <c r="I69" s="12" t="s">
        <v>309</v>
      </c>
      <c r="J69" s="12" t="s">
        <v>309</v>
      </c>
      <c r="K69" s="12" t="s">
        <v>309</v>
      </c>
      <c r="L69" s="18" t="s">
        <v>310</v>
      </c>
    </row>
    <row r="70" spans="1:12" x14ac:dyDescent="0.45">
      <c r="A70" s="7" t="s">
        <v>314</v>
      </c>
      <c r="B70" s="8" t="s">
        <v>275</v>
      </c>
      <c r="C70" s="10">
        <v>1</v>
      </c>
      <c r="D70" s="8" t="s">
        <v>307</v>
      </c>
      <c r="E70" s="8" t="s">
        <v>276</v>
      </c>
      <c r="F70" s="10">
        <v>8</v>
      </c>
      <c r="G70" s="12">
        <f t="shared" si="6"/>
        <v>8</v>
      </c>
      <c r="H70" s="12" t="s">
        <v>309</v>
      </c>
      <c r="I70" s="12" t="s">
        <v>309</v>
      </c>
      <c r="J70" s="12" t="s">
        <v>309</v>
      </c>
      <c r="K70" s="12" t="s">
        <v>309</v>
      </c>
      <c r="L70" s="18" t="s">
        <v>310</v>
      </c>
    </row>
    <row r="71" spans="1:12" x14ac:dyDescent="0.45">
      <c r="A71" s="8"/>
      <c r="B71" s="8"/>
      <c r="C71" s="10"/>
      <c r="D71" s="8"/>
      <c r="E71" s="8" t="s">
        <v>291</v>
      </c>
      <c r="F71" s="10">
        <v>2</v>
      </c>
      <c r="G71" s="12">
        <f t="shared" si="6"/>
        <v>2</v>
      </c>
      <c r="H71" s="12" t="s">
        <v>309</v>
      </c>
      <c r="I71" s="12" t="s">
        <v>309</v>
      </c>
      <c r="J71" s="12" t="s">
        <v>309</v>
      </c>
      <c r="K71" s="12" t="s">
        <v>309</v>
      </c>
      <c r="L71" s="18" t="s">
        <v>310</v>
      </c>
    </row>
    <row r="72" spans="1:12" x14ac:dyDescent="0.45">
      <c r="A72" s="7" t="s">
        <v>315</v>
      </c>
      <c r="B72" s="8" t="s">
        <v>285</v>
      </c>
      <c r="C72" s="10">
        <v>1</v>
      </c>
      <c r="D72" s="8" t="s">
        <v>307</v>
      </c>
      <c r="E72" s="8" t="s">
        <v>286</v>
      </c>
      <c r="F72" s="10">
        <v>6</v>
      </c>
      <c r="G72" s="12">
        <f t="shared" si="6"/>
        <v>6</v>
      </c>
      <c r="H72" s="12" t="s">
        <v>309</v>
      </c>
      <c r="I72" s="12" t="s">
        <v>309</v>
      </c>
      <c r="J72" s="12" t="s">
        <v>309</v>
      </c>
      <c r="K72" s="12" t="s">
        <v>309</v>
      </c>
      <c r="L72" s="18" t="s">
        <v>310</v>
      </c>
    </row>
    <row r="73" spans="1:12" x14ac:dyDescent="0.45">
      <c r="A73" s="8"/>
      <c r="B73" s="8"/>
      <c r="C73" s="10"/>
      <c r="D73" s="8"/>
      <c r="E73" s="8" t="s">
        <v>276</v>
      </c>
      <c r="F73" s="10">
        <v>4</v>
      </c>
      <c r="G73" s="12">
        <f t="shared" si="6"/>
        <v>4</v>
      </c>
      <c r="H73" s="12" t="s">
        <v>309</v>
      </c>
      <c r="I73" s="12" t="s">
        <v>309</v>
      </c>
      <c r="J73" s="12" t="s">
        <v>309</v>
      </c>
      <c r="K73" s="12" t="s">
        <v>309</v>
      </c>
      <c r="L73" s="18" t="s">
        <v>310</v>
      </c>
    </row>
    <row r="74" spans="1:12" x14ac:dyDescent="0.45">
      <c r="A74" s="2" t="s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2"/>
  <sheetViews>
    <sheetView showGridLines="0" workbookViewId="0"/>
  </sheetViews>
  <sheetFormatPr baseColWidth="10" defaultColWidth="9.06640625" defaultRowHeight="14.25" x14ac:dyDescent="0.45"/>
  <cols>
    <col min="1" max="1" width="22" customWidth="1"/>
    <col min="2" max="11" width="10" customWidth="1"/>
    <col min="12" max="12" width="40" customWidth="1"/>
  </cols>
  <sheetData>
    <row r="1" spans="1:12" ht="17.649999999999999" x14ac:dyDescent="0.5">
      <c r="A1" s="1" t="s">
        <v>317</v>
      </c>
    </row>
    <row r="2" spans="1:12" x14ac:dyDescent="0.45">
      <c r="A2" s="2" t="s">
        <v>318</v>
      </c>
    </row>
    <row r="4" spans="1:12" x14ac:dyDescent="0.45">
      <c r="A4" s="3" t="s">
        <v>319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45">
      <c r="A5" s="6" t="s">
        <v>320</v>
      </c>
      <c r="B5" s="6" t="s">
        <v>321</v>
      </c>
      <c r="C5" s="6" t="s">
        <v>322</v>
      </c>
      <c r="D5" s="6" t="s">
        <v>323</v>
      </c>
      <c r="E5" s="6" t="s">
        <v>324</v>
      </c>
      <c r="F5" s="6"/>
      <c r="G5" s="6"/>
      <c r="H5" s="6"/>
      <c r="I5" s="6"/>
      <c r="J5" s="6"/>
      <c r="K5" s="6"/>
      <c r="L5" s="6" t="s">
        <v>272</v>
      </c>
    </row>
    <row r="6" spans="1:12" x14ac:dyDescent="0.45">
      <c r="A6" s="8" t="s">
        <v>325</v>
      </c>
      <c r="B6" s="8" t="s">
        <v>326</v>
      </c>
      <c r="C6" s="17">
        <v>1</v>
      </c>
      <c r="D6" s="17" t="s">
        <v>327</v>
      </c>
      <c r="E6" s="17">
        <v>1</v>
      </c>
      <c r="F6" s="8"/>
      <c r="G6" s="8"/>
      <c r="H6" s="8"/>
      <c r="I6" s="8"/>
      <c r="J6" s="8"/>
      <c r="K6" s="8"/>
      <c r="L6" s="18" t="s">
        <v>328</v>
      </c>
    </row>
    <row r="7" spans="1:12" x14ac:dyDescent="0.45">
      <c r="A7" s="8" t="s">
        <v>329</v>
      </c>
      <c r="B7" s="8" t="s">
        <v>330</v>
      </c>
      <c r="C7" s="17">
        <v>1</v>
      </c>
      <c r="D7" s="17">
        <v>1</v>
      </c>
      <c r="E7" s="17">
        <v>1</v>
      </c>
      <c r="F7" s="8"/>
      <c r="G7" s="8"/>
      <c r="H7" s="8"/>
      <c r="I7" s="8"/>
      <c r="J7" s="8"/>
      <c r="K7" s="8"/>
      <c r="L7" s="18" t="s">
        <v>331</v>
      </c>
    </row>
    <row r="8" spans="1:12" x14ac:dyDescent="0.45">
      <c r="A8" s="8" t="s">
        <v>332</v>
      </c>
      <c r="B8" s="8" t="s">
        <v>326</v>
      </c>
      <c r="C8" s="17">
        <v>1</v>
      </c>
      <c r="D8" s="17">
        <v>1</v>
      </c>
      <c r="E8" s="17">
        <v>2</v>
      </c>
      <c r="F8" s="8"/>
      <c r="G8" s="8"/>
      <c r="H8" s="8"/>
      <c r="I8" s="8"/>
      <c r="J8" s="8"/>
      <c r="K8" s="8"/>
      <c r="L8" s="18" t="s">
        <v>333</v>
      </c>
    </row>
    <row r="9" spans="1:12" x14ac:dyDescent="0.45">
      <c r="A9" s="8" t="s">
        <v>334</v>
      </c>
      <c r="B9" s="8" t="s">
        <v>335</v>
      </c>
      <c r="C9" s="17"/>
      <c r="D9" s="17">
        <v>1</v>
      </c>
      <c r="E9" s="17">
        <v>1</v>
      </c>
      <c r="F9" s="8"/>
      <c r="G9" s="8"/>
      <c r="H9" s="8"/>
      <c r="I9" s="8"/>
      <c r="J9" s="8"/>
      <c r="K9" s="8"/>
      <c r="L9" s="18" t="s">
        <v>336</v>
      </c>
    </row>
    <row r="10" spans="1:12" x14ac:dyDescent="0.45">
      <c r="A10" s="8" t="s">
        <v>337</v>
      </c>
      <c r="B10" s="8" t="s">
        <v>326</v>
      </c>
      <c r="C10" s="17">
        <v>1</v>
      </c>
      <c r="D10" s="17">
        <v>1</v>
      </c>
      <c r="E10" s="17">
        <v>1</v>
      </c>
      <c r="F10" s="8"/>
      <c r="G10" s="8"/>
      <c r="H10" s="8"/>
      <c r="I10" s="8"/>
      <c r="J10" s="8"/>
      <c r="K10" s="8"/>
      <c r="L10" s="18" t="s">
        <v>338</v>
      </c>
    </row>
    <row r="11" spans="1:12" x14ac:dyDescent="0.45">
      <c r="A11" s="8" t="s">
        <v>339</v>
      </c>
      <c r="B11" s="8" t="s">
        <v>340</v>
      </c>
      <c r="C11" s="17">
        <v>15</v>
      </c>
      <c r="D11" s="17" t="s">
        <v>327</v>
      </c>
      <c r="E11" s="17">
        <v>1</v>
      </c>
      <c r="F11" s="8"/>
      <c r="G11" s="8"/>
      <c r="H11" s="8"/>
      <c r="I11" s="8"/>
      <c r="J11" s="8"/>
      <c r="K11" s="8"/>
      <c r="L11" s="18" t="s">
        <v>341</v>
      </c>
    </row>
    <row r="12" spans="1:12" x14ac:dyDescent="0.45">
      <c r="A12" s="8" t="s">
        <v>342</v>
      </c>
      <c r="B12" s="8" t="s">
        <v>343</v>
      </c>
      <c r="C12" s="17">
        <v>5</v>
      </c>
      <c r="D12" s="17">
        <v>10</v>
      </c>
      <c r="E12" s="17">
        <v>1</v>
      </c>
      <c r="F12" s="8"/>
      <c r="G12" s="8"/>
      <c r="H12" s="8"/>
      <c r="I12" s="8"/>
      <c r="J12" s="8"/>
      <c r="K12" s="8"/>
      <c r="L12" s="18" t="s">
        <v>344</v>
      </c>
    </row>
    <row r="13" spans="1:12" x14ac:dyDescent="0.45">
      <c r="A13" s="8" t="s">
        <v>345</v>
      </c>
      <c r="B13" s="8" t="s">
        <v>326</v>
      </c>
      <c r="C13" s="17">
        <v>1</v>
      </c>
      <c r="D13" s="17">
        <v>1</v>
      </c>
      <c r="E13" s="17">
        <v>2</v>
      </c>
      <c r="F13" s="8"/>
      <c r="G13" s="8"/>
      <c r="H13" s="8"/>
      <c r="I13" s="8"/>
      <c r="J13" s="8"/>
      <c r="K13" s="8"/>
      <c r="L13" s="18" t="s">
        <v>346</v>
      </c>
    </row>
    <row r="14" spans="1:12" x14ac:dyDescent="0.45">
      <c r="A14" s="8" t="s">
        <v>347</v>
      </c>
      <c r="B14" s="8" t="s">
        <v>340</v>
      </c>
      <c r="C14" s="17">
        <v>15</v>
      </c>
      <c r="D14" s="17" t="s">
        <v>327</v>
      </c>
      <c r="E14" s="17">
        <v>1</v>
      </c>
      <c r="F14" s="8"/>
      <c r="G14" s="8"/>
      <c r="H14" s="8"/>
      <c r="I14" s="8"/>
      <c r="J14" s="8"/>
      <c r="K14" s="8"/>
      <c r="L14" s="18" t="s">
        <v>348</v>
      </c>
    </row>
    <row r="15" spans="1:12" x14ac:dyDescent="0.45">
      <c r="A15" s="8" t="s">
        <v>349</v>
      </c>
      <c r="B15" s="8" t="s">
        <v>326</v>
      </c>
      <c r="C15" s="17">
        <v>1</v>
      </c>
      <c r="D15" s="17" t="s">
        <v>327</v>
      </c>
      <c r="E15" s="17">
        <v>1</v>
      </c>
      <c r="F15" s="8"/>
      <c r="G15" s="8"/>
      <c r="H15" s="8"/>
      <c r="I15" s="8"/>
      <c r="J15" s="8"/>
      <c r="K15" s="8"/>
      <c r="L15" s="18" t="s">
        <v>350</v>
      </c>
    </row>
    <row r="16" spans="1:12" x14ac:dyDescent="0.45">
      <c r="A16" s="8" t="s">
        <v>351</v>
      </c>
      <c r="B16" s="8" t="s">
        <v>340</v>
      </c>
      <c r="C16" s="17">
        <v>40</v>
      </c>
      <c r="D16" s="17" t="s">
        <v>327</v>
      </c>
      <c r="E16" s="17">
        <v>1</v>
      </c>
      <c r="F16" s="8"/>
      <c r="G16" s="8"/>
      <c r="H16" s="8"/>
      <c r="I16" s="8"/>
      <c r="J16" s="8"/>
      <c r="K16" s="8"/>
      <c r="L16" s="18" t="s">
        <v>352</v>
      </c>
    </row>
    <row r="18" spans="1:12" x14ac:dyDescent="0.45">
      <c r="A18" s="3" t="s">
        <v>353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45">
      <c r="A19" s="5" t="s">
        <v>354</v>
      </c>
      <c r="B19" s="10">
        <v>15</v>
      </c>
    </row>
    <row r="20" spans="1:12" x14ac:dyDescent="0.45">
      <c r="A20" s="5" t="s">
        <v>355</v>
      </c>
      <c r="B20" s="10">
        <v>40</v>
      </c>
    </row>
    <row r="21" spans="1:12" x14ac:dyDescent="0.45">
      <c r="A21" s="6" t="s">
        <v>356</v>
      </c>
      <c r="B21" s="6" t="s">
        <v>357</v>
      </c>
      <c r="C21" s="6" t="s">
        <v>358</v>
      </c>
      <c r="D21" s="6" t="s">
        <v>359</v>
      </c>
      <c r="E21" s="6" t="s">
        <v>360</v>
      </c>
      <c r="F21" s="6" t="s">
        <v>361</v>
      </c>
      <c r="G21" s="6" t="s">
        <v>362</v>
      </c>
      <c r="H21" s="6" t="s">
        <v>363</v>
      </c>
      <c r="I21" s="6" t="s">
        <v>364</v>
      </c>
      <c r="J21" s="6" t="s">
        <v>365</v>
      </c>
      <c r="K21" s="6" t="s">
        <v>366</v>
      </c>
      <c r="L21" s="6" t="s">
        <v>273</v>
      </c>
    </row>
    <row r="22" spans="1:12" x14ac:dyDescent="0.45">
      <c r="A22" s="10">
        <v>1</v>
      </c>
      <c r="B22" s="12">
        <f t="shared" ref="B22:B45" si="0">MAX(INT(($B$19*1*A22+50)/100),1)</f>
        <v>1</v>
      </c>
      <c r="C22" s="12">
        <f t="shared" ref="C22:C45" si="1">MAX(INT(($B$19*2*A22+50)/100),2)</f>
        <v>2</v>
      </c>
      <c r="D22" s="12">
        <f t="shared" ref="D22:D45" si="2">MAX(INT(($B$19*3*A22+50)/100),3)</f>
        <v>3</v>
      </c>
      <c r="E22" s="12">
        <f t="shared" ref="E22:E45" si="3">MAX(INT(($B$19*4*A22+50)/100),4)</f>
        <v>4</v>
      </c>
      <c r="F22" s="12">
        <f t="shared" ref="F22:F45" si="4">MAX(INT(($B$19*5*A22+50)/100),5)</f>
        <v>5</v>
      </c>
      <c r="G22" s="12">
        <f t="shared" ref="G22:G45" si="5">MAX(INT(($B$20*1*A22+50)/100),1)</f>
        <v>1</v>
      </c>
      <c r="H22" s="12">
        <f t="shared" ref="H22:H45" si="6">MAX(INT(($B$20*2*A22+50)/100),2)</f>
        <v>2</v>
      </c>
      <c r="I22" s="12">
        <f t="shared" ref="I22:I45" si="7">MAX(INT(($B$20*3*A22+50)/100),3)</f>
        <v>3</v>
      </c>
      <c r="J22" s="12">
        <f t="shared" ref="J22:J45" si="8">MAX(INT(($B$20*4*A22+50)/100),4)</f>
        <v>4</v>
      </c>
      <c r="K22" s="12">
        <f t="shared" ref="K22:K45" si="9">MAX(INT(($B$20*5*A22+50)/100),5)</f>
        <v>5</v>
      </c>
      <c r="L22" s="18"/>
    </row>
    <row r="23" spans="1:12" x14ac:dyDescent="0.45">
      <c r="A23" s="10">
        <v>2</v>
      </c>
      <c r="B23" s="12">
        <f t="shared" si="0"/>
        <v>1</v>
      </c>
      <c r="C23" s="12">
        <f t="shared" si="1"/>
        <v>2</v>
      </c>
      <c r="D23" s="12">
        <f t="shared" si="2"/>
        <v>3</v>
      </c>
      <c r="E23" s="12">
        <f t="shared" si="3"/>
        <v>4</v>
      </c>
      <c r="F23" s="12">
        <f t="shared" si="4"/>
        <v>5</v>
      </c>
      <c r="G23" s="12">
        <f t="shared" si="5"/>
        <v>1</v>
      </c>
      <c r="H23" s="12">
        <f t="shared" si="6"/>
        <v>2</v>
      </c>
      <c r="I23" s="12">
        <f t="shared" si="7"/>
        <v>3</v>
      </c>
      <c r="J23" s="12">
        <f t="shared" si="8"/>
        <v>4</v>
      </c>
      <c r="K23" s="12">
        <f t="shared" si="9"/>
        <v>5</v>
      </c>
      <c r="L23" s="18"/>
    </row>
    <row r="24" spans="1:12" x14ac:dyDescent="0.45">
      <c r="A24" s="10">
        <v>3</v>
      </c>
      <c r="B24" s="12">
        <f t="shared" si="0"/>
        <v>1</v>
      </c>
      <c r="C24" s="12">
        <f t="shared" si="1"/>
        <v>2</v>
      </c>
      <c r="D24" s="12">
        <f t="shared" si="2"/>
        <v>3</v>
      </c>
      <c r="E24" s="12">
        <f t="shared" si="3"/>
        <v>4</v>
      </c>
      <c r="F24" s="12">
        <f t="shared" si="4"/>
        <v>5</v>
      </c>
      <c r="G24" s="12">
        <f t="shared" si="5"/>
        <v>1</v>
      </c>
      <c r="H24" s="12">
        <f t="shared" si="6"/>
        <v>2</v>
      </c>
      <c r="I24" s="12">
        <f t="shared" si="7"/>
        <v>4</v>
      </c>
      <c r="J24" s="12">
        <f t="shared" si="8"/>
        <v>5</v>
      </c>
      <c r="K24" s="12">
        <f t="shared" si="9"/>
        <v>6</v>
      </c>
      <c r="L24" s="18"/>
    </row>
    <row r="25" spans="1:12" x14ac:dyDescent="0.45">
      <c r="A25" s="10">
        <v>4</v>
      </c>
      <c r="B25" s="12">
        <f t="shared" si="0"/>
        <v>1</v>
      </c>
      <c r="C25" s="12">
        <f t="shared" si="1"/>
        <v>2</v>
      </c>
      <c r="D25" s="12">
        <f t="shared" si="2"/>
        <v>3</v>
      </c>
      <c r="E25" s="12">
        <f t="shared" si="3"/>
        <v>4</v>
      </c>
      <c r="F25" s="12">
        <f t="shared" si="4"/>
        <v>5</v>
      </c>
      <c r="G25" s="12">
        <f t="shared" si="5"/>
        <v>2</v>
      </c>
      <c r="H25" s="12">
        <f t="shared" si="6"/>
        <v>3</v>
      </c>
      <c r="I25" s="12">
        <f t="shared" si="7"/>
        <v>5</v>
      </c>
      <c r="J25" s="12">
        <f t="shared" si="8"/>
        <v>6</v>
      </c>
      <c r="K25" s="12">
        <f t="shared" si="9"/>
        <v>8</v>
      </c>
      <c r="L25" s="18"/>
    </row>
    <row r="26" spans="1:12" x14ac:dyDescent="0.45">
      <c r="A26" s="10">
        <v>5</v>
      </c>
      <c r="B26" s="12">
        <f t="shared" si="0"/>
        <v>1</v>
      </c>
      <c r="C26" s="12">
        <f t="shared" si="1"/>
        <v>2</v>
      </c>
      <c r="D26" s="12">
        <f t="shared" si="2"/>
        <v>3</v>
      </c>
      <c r="E26" s="12">
        <f t="shared" si="3"/>
        <v>4</v>
      </c>
      <c r="F26" s="12">
        <f t="shared" si="4"/>
        <v>5</v>
      </c>
      <c r="G26" s="12">
        <f t="shared" si="5"/>
        <v>2</v>
      </c>
      <c r="H26" s="12">
        <f t="shared" si="6"/>
        <v>4</v>
      </c>
      <c r="I26" s="12">
        <f t="shared" si="7"/>
        <v>6</v>
      </c>
      <c r="J26" s="12">
        <f t="shared" si="8"/>
        <v>8</v>
      </c>
      <c r="K26" s="12">
        <f t="shared" si="9"/>
        <v>10</v>
      </c>
      <c r="L26" s="18"/>
    </row>
    <row r="27" spans="1:12" x14ac:dyDescent="0.45">
      <c r="A27" s="10">
        <v>6</v>
      </c>
      <c r="B27" s="12">
        <f t="shared" si="0"/>
        <v>1</v>
      </c>
      <c r="C27" s="12">
        <f t="shared" si="1"/>
        <v>2</v>
      </c>
      <c r="D27" s="12">
        <f t="shared" si="2"/>
        <v>3</v>
      </c>
      <c r="E27" s="12">
        <f t="shared" si="3"/>
        <v>4</v>
      </c>
      <c r="F27" s="12">
        <f t="shared" si="4"/>
        <v>5</v>
      </c>
      <c r="G27" s="12">
        <f t="shared" si="5"/>
        <v>2</v>
      </c>
      <c r="H27" s="12">
        <f t="shared" si="6"/>
        <v>5</v>
      </c>
      <c r="I27" s="12">
        <f t="shared" si="7"/>
        <v>7</v>
      </c>
      <c r="J27" s="12">
        <f t="shared" si="8"/>
        <v>10</v>
      </c>
      <c r="K27" s="12">
        <f t="shared" si="9"/>
        <v>12</v>
      </c>
      <c r="L27" s="18"/>
    </row>
    <row r="28" spans="1:12" x14ac:dyDescent="0.45">
      <c r="A28" s="10">
        <v>7</v>
      </c>
      <c r="B28" s="12">
        <f t="shared" si="0"/>
        <v>1</v>
      </c>
      <c r="C28" s="12">
        <f t="shared" si="1"/>
        <v>2</v>
      </c>
      <c r="D28" s="12">
        <f t="shared" si="2"/>
        <v>3</v>
      </c>
      <c r="E28" s="12">
        <f t="shared" si="3"/>
        <v>4</v>
      </c>
      <c r="F28" s="12">
        <f t="shared" si="4"/>
        <v>5</v>
      </c>
      <c r="G28" s="12">
        <f t="shared" si="5"/>
        <v>3</v>
      </c>
      <c r="H28" s="12">
        <f t="shared" si="6"/>
        <v>6</v>
      </c>
      <c r="I28" s="12">
        <f t="shared" si="7"/>
        <v>8</v>
      </c>
      <c r="J28" s="12">
        <f t="shared" si="8"/>
        <v>11</v>
      </c>
      <c r="K28" s="12">
        <f t="shared" si="9"/>
        <v>14</v>
      </c>
      <c r="L28" s="18"/>
    </row>
    <row r="29" spans="1:12" x14ac:dyDescent="0.45">
      <c r="A29" s="10">
        <v>8</v>
      </c>
      <c r="B29" s="12">
        <f t="shared" si="0"/>
        <v>1</v>
      </c>
      <c r="C29" s="12">
        <f t="shared" si="1"/>
        <v>2</v>
      </c>
      <c r="D29" s="12">
        <f t="shared" si="2"/>
        <v>4</v>
      </c>
      <c r="E29" s="12">
        <f t="shared" si="3"/>
        <v>5</v>
      </c>
      <c r="F29" s="12">
        <f t="shared" si="4"/>
        <v>6</v>
      </c>
      <c r="G29" s="12">
        <f t="shared" si="5"/>
        <v>3</v>
      </c>
      <c r="H29" s="12">
        <f t="shared" si="6"/>
        <v>6</v>
      </c>
      <c r="I29" s="12">
        <f t="shared" si="7"/>
        <v>10</v>
      </c>
      <c r="J29" s="12">
        <f t="shared" si="8"/>
        <v>13</v>
      </c>
      <c r="K29" s="12">
        <f t="shared" si="9"/>
        <v>16</v>
      </c>
      <c r="L29" s="18"/>
    </row>
    <row r="30" spans="1:12" x14ac:dyDescent="0.45">
      <c r="A30" s="10">
        <v>9</v>
      </c>
      <c r="B30" s="12">
        <f t="shared" si="0"/>
        <v>1</v>
      </c>
      <c r="C30" s="12">
        <f t="shared" si="1"/>
        <v>3</v>
      </c>
      <c r="D30" s="12">
        <f t="shared" si="2"/>
        <v>4</v>
      </c>
      <c r="E30" s="12">
        <f t="shared" si="3"/>
        <v>5</v>
      </c>
      <c r="F30" s="12">
        <f t="shared" si="4"/>
        <v>7</v>
      </c>
      <c r="G30" s="12">
        <f t="shared" si="5"/>
        <v>4</v>
      </c>
      <c r="H30" s="12">
        <f t="shared" si="6"/>
        <v>7</v>
      </c>
      <c r="I30" s="12">
        <f t="shared" si="7"/>
        <v>11</v>
      </c>
      <c r="J30" s="12">
        <f t="shared" si="8"/>
        <v>14</v>
      </c>
      <c r="K30" s="12">
        <f t="shared" si="9"/>
        <v>18</v>
      </c>
      <c r="L30" s="18"/>
    </row>
    <row r="31" spans="1:12" x14ac:dyDescent="0.45">
      <c r="A31" s="10">
        <v>10</v>
      </c>
      <c r="B31" s="12">
        <f t="shared" si="0"/>
        <v>2</v>
      </c>
      <c r="C31" s="12">
        <f t="shared" si="1"/>
        <v>3</v>
      </c>
      <c r="D31" s="12">
        <f t="shared" si="2"/>
        <v>5</v>
      </c>
      <c r="E31" s="12">
        <f t="shared" si="3"/>
        <v>6</v>
      </c>
      <c r="F31" s="12">
        <f t="shared" si="4"/>
        <v>8</v>
      </c>
      <c r="G31" s="12">
        <f t="shared" si="5"/>
        <v>4</v>
      </c>
      <c r="H31" s="12">
        <f t="shared" si="6"/>
        <v>8</v>
      </c>
      <c r="I31" s="12">
        <f t="shared" si="7"/>
        <v>12</v>
      </c>
      <c r="J31" s="12">
        <f t="shared" si="8"/>
        <v>16</v>
      </c>
      <c r="K31" s="12">
        <f t="shared" si="9"/>
        <v>20</v>
      </c>
      <c r="L31" s="18"/>
    </row>
    <row r="32" spans="1:12" x14ac:dyDescent="0.45">
      <c r="A32" s="10">
        <v>11</v>
      </c>
      <c r="B32" s="12">
        <f t="shared" si="0"/>
        <v>2</v>
      </c>
      <c r="C32" s="12">
        <f t="shared" si="1"/>
        <v>3</v>
      </c>
      <c r="D32" s="12">
        <f t="shared" si="2"/>
        <v>5</v>
      </c>
      <c r="E32" s="12">
        <f t="shared" si="3"/>
        <v>7</v>
      </c>
      <c r="F32" s="12">
        <f t="shared" si="4"/>
        <v>8</v>
      </c>
      <c r="G32" s="12">
        <f t="shared" si="5"/>
        <v>4</v>
      </c>
      <c r="H32" s="12">
        <f t="shared" si="6"/>
        <v>9</v>
      </c>
      <c r="I32" s="12">
        <f t="shared" si="7"/>
        <v>13</v>
      </c>
      <c r="J32" s="12">
        <f t="shared" si="8"/>
        <v>18</v>
      </c>
      <c r="K32" s="12">
        <f t="shared" si="9"/>
        <v>22</v>
      </c>
      <c r="L32" s="18"/>
    </row>
    <row r="33" spans="1:12" x14ac:dyDescent="0.45">
      <c r="A33" s="10">
        <v>12</v>
      </c>
      <c r="B33" s="12">
        <f t="shared" si="0"/>
        <v>2</v>
      </c>
      <c r="C33" s="12">
        <f t="shared" si="1"/>
        <v>4</v>
      </c>
      <c r="D33" s="12">
        <f t="shared" si="2"/>
        <v>5</v>
      </c>
      <c r="E33" s="12">
        <f t="shared" si="3"/>
        <v>7</v>
      </c>
      <c r="F33" s="12">
        <f t="shared" si="4"/>
        <v>9</v>
      </c>
      <c r="G33" s="12">
        <f t="shared" si="5"/>
        <v>5</v>
      </c>
      <c r="H33" s="12">
        <f t="shared" si="6"/>
        <v>10</v>
      </c>
      <c r="I33" s="12">
        <f t="shared" si="7"/>
        <v>14</v>
      </c>
      <c r="J33" s="12">
        <f t="shared" si="8"/>
        <v>19</v>
      </c>
      <c r="K33" s="12">
        <f t="shared" si="9"/>
        <v>24</v>
      </c>
      <c r="L33" s="18"/>
    </row>
    <row r="34" spans="1:12" x14ac:dyDescent="0.45">
      <c r="A34" s="10">
        <v>13</v>
      </c>
      <c r="B34" s="12">
        <f t="shared" si="0"/>
        <v>2</v>
      </c>
      <c r="C34" s="12">
        <f t="shared" si="1"/>
        <v>4</v>
      </c>
      <c r="D34" s="12">
        <f t="shared" si="2"/>
        <v>6</v>
      </c>
      <c r="E34" s="12">
        <f t="shared" si="3"/>
        <v>8</v>
      </c>
      <c r="F34" s="12">
        <f t="shared" si="4"/>
        <v>10</v>
      </c>
      <c r="G34" s="12">
        <f t="shared" si="5"/>
        <v>5</v>
      </c>
      <c r="H34" s="12">
        <f t="shared" si="6"/>
        <v>10</v>
      </c>
      <c r="I34" s="12">
        <f t="shared" si="7"/>
        <v>16</v>
      </c>
      <c r="J34" s="12">
        <f t="shared" si="8"/>
        <v>21</v>
      </c>
      <c r="K34" s="12">
        <f t="shared" si="9"/>
        <v>26</v>
      </c>
      <c r="L34" s="18"/>
    </row>
    <row r="35" spans="1:12" x14ac:dyDescent="0.45">
      <c r="A35" s="10">
        <v>14</v>
      </c>
      <c r="B35" s="12">
        <f t="shared" si="0"/>
        <v>2</v>
      </c>
      <c r="C35" s="12">
        <f t="shared" si="1"/>
        <v>4</v>
      </c>
      <c r="D35" s="12">
        <f t="shared" si="2"/>
        <v>6</v>
      </c>
      <c r="E35" s="12">
        <f t="shared" si="3"/>
        <v>8</v>
      </c>
      <c r="F35" s="12">
        <f t="shared" si="4"/>
        <v>11</v>
      </c>
      <c r="G35" s="12">
        <f t="shared" si="5"/>
        <v>6</v>
      </c>
      <c r="H35" s="12">
        <f t="shared" si="6"/>
        <v>11</v>
      </c>
      <c r="I35" s="12">
        <f t="shared" si="7"/>
        <v>17</v>
      </c>
      <c r="J35" s="12">
        <f t="shared" si="8"/>
        <v>22</v>
      </c>
      <c r="K35" s="12">
        <f t="shared" si="9"/>
        <v>28</v>
      </c>
      <c r="L35" s="18"/>
    </row>
    <row r="36" spans="1:12" x14ac:dyDescent="0.45">
      <c r="A36" s="10">
        <v>15</v>
      </c>
      <c r="B36" s="12">
        <f t="shared" si="0"/>
        <v>2</v>
      </c>
      <c r="C36" s="12">
        <f t="shared" si="1"/>
        <v>5</v>
      </c>
      <c r="D36" s="12">
        <f t="shared" si="2"/>
        <v>7</v>
      </c>
      <c r="E36" s="12">
        <f t="shared" si="3"/>
        <v>9</v>
      </c>
      <c r="F36" s="12">
        <f t="shared" si="4"/>
        <v>11</v>
      </c>
      <c r="G36" s="12">
        <f t="shared" si="5"/>
        <v>6</v>
      </c>
      <c r="H36" s="12">
        <f t="shared" si="6"/>
        <v>12</v>
      </c>
      <c r="I36" s="12">
        <f t="shared" si="7"/>
        <v>18</v>
      </c>
      <c r="J36" s="12">
        <f t="shared" si="8"/>
        <v>24</v>
      </c>
      <c r="K36" s="12">
        <f t="shared" si="9"/>
        <v>30</v>
      </c>
      <c r="L36" s="18"/>
    </row>
    <row r="37" spans="1:12" x14ac:dyDescent="0.45">
      <c r="A37" s="10">
        <v>16</v>
      </c>
      <c r="B37" s="12">
        <f t="shared" si="0"/>
        <v>2</v>
      </c>
      <c r="C37" s="12">
        <f t="shared" si="1"/>
        <v>5</v>
      </c>
      <c r="D37" s="12">
        <f t="shared" si="2"/>
        <v>7</v>
      </c>
      <c r="E37" s="12">
        <f t="shared" si="3"/>
        <v>10</v>
      </c>
      <c r="F37" s="12">
        <f t="shared" si="4"/>
        <v>12</v>
      </c>
      <c r="G37" s="12">
        <f t="shared" si="5"/>
        <v>6</v>
      </c>
      <c r="H37" s="12">
        <f t="shared" si="6"/>
        <v>13</v>
      </c>
      <c r="I37" s="12">
        <f t="shared" si="7"/>
        <v>19</v>
      </c>
      <c r="J37" s="12">
        <f t="shared" si="8"/>
        <v>26</v>
      </c>
      <c r="K37" s="12">
        <f t="shared" si="9"/>
        <v>32</v>
      </c>
      <c r="L37" s="18"/>
    </row>
    <row r="38" spans="1:12" x14ac:dyDescent="0.45">
      <c r="A38" s="10">
        <v>17</v>
      </c>
      <c r="B38" s="12">
        <f t="shared" si="0"/>
        <v>3</v>
      </c>
      <c r="C38" s="12">
        <f t="shared" si="1"/>
        <v>5</v>
      </c>
      <c r="D38" s="12">
        <f t="shared" si="2"/>
        <v>8</v>
      </c>
      <c r="E38" s="12">
        <f t="shared" si="3"/>
        <v>10</v>
      </c>
      <c r="F38" s="12">
        <f t="shared" si="4"/>
        <v>13</v>
      </c>
      <c r="G38" s="12">
        <f t="shared" si="5"/>
        <v>7</v>
      </c>
      <c r="H38" s="12">
        <f t="shared" si="6"/>
        <v>14</v>
      </c>
      <c r="I38" s="12">
        <f t="shared" si="7"/>
        <v>20</v>
      </c>
      <c r="J38" s="12">
        <f t="shared" si="8"/>
        <v>27</v>
      </c>
      <c r="K38" s="12">
        <f t="shared" si="9"/>
        <v>34</v>
      </c>
      <c r="L38" s="18"/>
    </row>
    <row r="39" spans="1:12" x14ac:dyDescent="0.45">
      <c r="A39" s="10">
        <v>18</v>
      </c>
      <c r="B39" s="12">
        <f t="shared" si="0"/>
        <v>3</v>
      </c>
      <c r="C39" s="12">
        <f t="shared" si="1"/>
        <v>5</v>
      </c>
      <c r="D39" s="12">
        <f t="shared" si="2"/>
        <v>8</v>
      </c>
      <c r="E39" s="12">
        <f t="shared" si="3"/>
        <v>11</v>
      </c>
      <c r="F39" s="12">
        <f t="shared" si="4"/>
        <v>14</v>
      </c>
      <c r="G39" s="12">
        <f t="shared" si="5"/>
        <v>7</v>
      </c>
      <c r="H39" s="12">
        <f t="shared" si="6"/>
        <v>14</v>
      </c>
      <c r="I39" s="12">
        <f t="shared" si="7"/>
        <v>22</v>
      </c>
      <c r="J39" s="12">
        <f t="shared" si="8"/>
        <v>29</v>
      </c>
      <c r="K39" s="12">
        <f t="shared" si="9"/>
        <v>36</v>
      </c>
      <c r="L39" s="18"/>
    </row>
    <row r="40" spans="1:12" x14ac:dyDescent="0.45">
      <c r="A40" s="10">
        <v>19</v>
      </c>
      <c r="B40" s="12">
        <f t="shared" si="0"/>
        <v>3</v>
      </c>
      <c r="C40" s="12">
        <f t="shared" si="1"/>
        <v>6</v>
      </c>
      <c r="D40" s="12">
        <f t="shared" si="2"/>
        <v>9</v>
      </c>
      <c r="E40" s="12">
        <f t="shared" si="3"/>
        <v>11</v>
      </c>
      <c r="F40" s="12">
        <f t="shared" si="4"/>
        <v>14</v>
      </c>
      <c r="G40" s="12">
        <f t="shared" si="5"/>
        <v>8</v>
      </c>
      <c r="H40" s="12">
        <f t="shared" si="6"/>
        <v>15</v>
      </c>
      <c r="I40" s="12">
        <f t="shared" si="7"/>
        <v>23</v>
      </c>
      <c r="J40" s="12">
        <f t="shared" si="8"/>
        <v>30</v>
      </c>
      <c r="K40" s="12">
        <f t="shared" si="9"/>
        <v>38</v>
      </c>
      <c r="L40" s="18"/>
    </row>
    <row r="41" spans="1:12" x14ac:dyDescent="0.45">
      <c r="A41" s="10">
        <v>20</v>
      </c>
      <c r="B41" s="12">
        <f t="shared" si="0"/>
        <v>3</v>
      </c>
      <c r="C41" s="12">
        <f t="shared" si="1"/>
        <v>6</v>
      </c>
      <c r="D41" s="12">
        <f t="shared" si="2"/>
        <v>9</v>
      </c>
      <c r="E41" s="12">
        <f t="shared" si="3"/>
        <v>12</v>
      </c>
      <c r="F41" s="12">
        <f t="shared" si="4"/>
        <v>15</v>
      </c>
      <c r="G41" s="12">
        <f t="shared" si="5"/>
        <v>8</v>
      </c>
      <c r="H41" s="12">
        <f t="shared" si="6"/>
        <v>16</v>
      </c>
      <c r="I41" s="12">
        <f t="shared" si="7"/>
        <v>24</v>
      </c>
      <c r="J41" s="12">
        <f t="shared" si="8"/>
        <v>32</v>
      </c>
      <c r="K41" s="12">
        <f t="shared" si="9"/>
        <v>40</v>
      </c>
      <c r="L41" s="18"/>
    </row>
    <row r="42" spans="1:12" x14ac:dyDescent="0.45">
      <c r="A42" s="10">
        <v>21</v>
      </c>
      <c r="B42" s="12">
        <f t="shared" si="0"/>
        <v>3</v>
      </c>
      <c r="C42" s="12">
        <f t="shared" si="1"/>
        <v>6</v>
      </c>
      <c r="D42" s="12">
        <f t="shared" si="2"/>
        <v>9</v>
      </c>
      <c r="E42" s="12">
        <f t="shared" si="3"/>
        <v>13</v>
      </c>
      <c r="F42" s="12">
        <f t="shared" si="4"/>
        <v>16</v>
      </c>
      <c r="G42" s="12">
        <f t="shared" si="5"/>
        <v>8</v>
      </c>
      <c r="H42" s="12">
        <f t="shared" si="6"/>
        <v>17</v>
      </c>
      <c r="I42" s="12">
        <f t="shared" si="7"/>
        <v>25</v>
      </c>
      <c r="J42" s="12">
        <f t="shared" si="8"/>
        <v>34</v>
      </c>
      <c r="K42" s="12">
        <f t="shared" si="9"/>
        <v>42</v>
      </c>
      <c r="L42" s="18"/>
    </row>
    <row r="43" spans="1:12" x14ac:dyDescent="0.45">
      <c r="A43" s="10">
        <v>22</v>
      </c>
      <c r="B43" s="12">
        <f t="shared" si="0"/>
        <v>3</v>
      </c>
      <c r="C43" s="12">
        <f t="shared" si="1"/>
        <v>7</v>
      </c>
      <c r="D43" s="12">
        <f t="shared" si="2"/>
        <v>10</v>
      </c>
      <c r="E43" s="12">
        <f t="shared" si="3"/>
        <v>13</v>
      </c>
      <c r="F43" s="12">
        <f t="shared" si="4"/>
        <v>17</v>
      </c>
      <c r="G43" s="12">
        <f t="shared" si="5"/>
        <v>9</v>
      </c>
      <c r="H43" s="12">
        <f t="shared" si="6"/>
        <v>18</v>
      </c>
      <c r="I43" s="12">
        <f t="shared" si="7"/>
        <v>26</v>
      </c>
      <c r="J43" s="12">
        <f t="shared" si="8"/>
        <v>35</v>
      </c>
      <c r="K43" s="12">
        <f t="shared" si="9"/>
        <v>44</v>
      </c>
      <c r="L43" s="18"/>
    </row>
    <row r="44" spans="1:12" x14ac:dyDescent="0.45">
      <c r="A44" s="10">
        <v>23</v>
      </c>
      <c r="B44" s="12">
        <f t="shared" si="0"/>
        <v>3</v>
      </c>
      <c r="C44" s="12">
        <f t="shared" si="1"/>
        <v>7</v>
      </c>
      <c r="D44" s="12">
        <f t="shared" si="2"/>
        <v>10</v>
      </c>
      <c r="E44" s="12">
        <f t="shared" si="3"/>
        <v>14</v>
      </c>
      <c r="F44" s="12">
        <f t="shared" si="4"/>
        <v>17</v>
      </c>
      <c r="G44" s="12">
        <f t="shared" si="5"/>
        <v>9</v>
      </c>
      <c r="H44" s="12">
        <f t="shared" si="6"/>
        <v>18</v>
      </c>
      <c r="I44" s="12">
        <f t="shared" si="7"/>
        <v>28</v>
      </c>
      <c r="J44" s="12">
        <f t="shared" si="8"/>
        <v>37</v>
      </c>
      <c r="K44" s="12">
        <f t="shared" si="9"/>
        <v>46</v>
      </c>
      <c r="L44" s="18"/>
    </row>
    <row r="45" spans="1:12" x14ac:dyDescent="0.45">
      <c r="A45" s="10">
        <v>24</v>
      </c>
      <c r="B45" s="12">
        <f t="shared" si="0"/>
        <v>4</v>
      </c>
      <c r="C45" s="12">
        <f t="shared" si="1"/>
        <v>7</v>
      </c>
      <c r="D45" s="12">
        <f t="shared" si="2"/>
        <v>11</v>
      </c>
      <c r="E45" s="12">
        <f t="shared" si="3"/>
        <v>14</v>
      </c>
      <c r="F45" s="12">
        <f t="shared" si="4"/>
        <v>18</v>
      </c>
      <c r="G45" s="12">
        <f t="shared" si="5"/>
        <v>10</v>
      </c>
      <c r="H45" s="12">
        <f t="shared" si="6"/>
        <v>19</v>
      </c>
      <c r="I45" s="12">
        <f t="shared" si="7"/>
        <v>29</v>
      </c>
      <c r="J45" s="12">
        <f t="shared" si="8"/>
        <v>38</v>
      </c>
      <c r="K45" s="12">
        <f t="shared" si="9"/>
        <v>48</v>
      </c>
      <c r="L45" s="18"/>
    </row>
    <row r="46" spans="1:12" x14ac:dyDescent="0.45">
      <c r="A46" s="2" t="s">
        <v>367</v>
      </c>
    </row>
    <row r="48" spans="1:12" x14ac:dyDescent="0.45">
      <c r="A48" s="3" t="s">
        <v>368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45">
      <c r="A49" s="6" t="s">
        <v>320</v>
      </c>
      <c r="B49" s="6" t="s">
        <v>190</v>
      </c>
      <c r="C49" s="6" t="s">
        <v>369</v>
      </c>
      <c r="D49" s="6" t="s">
        <v>370</v>
      </c>
      <c r="E49" s="6" t="s">
        <v>191</v>
      </c>
      <c r="F49" s="6" t="s">
        <v>192</v>
      </c>
      <c r="G49" s="6" t="s">
        <v>273</v>
      </c>
    </row>
    <row r="50" spans="1:12" x14ac:dyDescent="0.45">
      <c r="A50" s="8" t="s">
        <v>371</v>
      </c>
      <c r="B50" s="8">
        <v>1</v>
      </c>
      <c r="C50" s="8">
        <v>2</v>
      </c>
      <c r="D50" s="8">
        <v>3</v>
      </c>
      <c r="E50" s="8">
        <v>5</v>
      </c>
      <c r="F50" s="8">
        <v>10</v>
      </c>
      <c r="G50" s="18" t="s">
        <v>372</v>
      </c>
    </row>
    <row r="51" spans="1:12" x14ac:dyDescent="0.45">
      <c r="A51" s="8" t="s">
        <v>373</v>
      </c>
      <c r="B51" s="8">
        <v>5</v>
      </c>
      <c r="C51" s="8">
        <v>10</v>
      </c>
      <c r="D51" s="8">
        <v>15</v>
      </c>
      <c r="E51" s="8">
        <v>25</v>
      </c>
      <c r="F51" s="8">
        <v>50</v>
      </c>
      <c r="G51" s="18" t="s">
        <v>374</v>
      </c>
    </row>
    <row r="52" spans="1:12" x14ac:dyDescent="0.45">
      <c r="A52" s="8" t="s">
        <v>375</v>
      </c>
      <c r="B52" s="8" t="s">
        <v>376</v>
      </c>
      <c r="C52" s="8" t="s">
        <v>309</v>
      </c>
      <c r="D52" s="8" t="s">
        <v>309</v>
      </c>
      <c r="E52" s="8" t="s">
        <v>309</v>
      </c>
      <c r="F52" s="8" t="s">
        <v>309</v>
      </c>
      <c r="G52" s="18" t="s">
        <v>377</v>
      </c>
    </row>
    <row r="53" spans="1:12" x14ac:dyDescent="0.45">
      <c r="A53" s="8" t="s">
        <v>378</v>
      </c>
      <c r="B53" s="8" t="s">
        <v>379</v>
      </c>
      <c r="C53" s="8" t="s">
        <v>309</v>
      </c>
      <c r="D53" s="8" t="s">
        <v>309</v>
      </c>
      <c r="E53" s="8" t="s">
        <v>309</v>
      </c>
      <c r="F53" s="8" t="s">
        <v>309</v>
      </c>
      <c r="G53" s="18" t="s">
        <v>380</v>
      </c>
    </row>
    <row r="54" spans="1:12" x14ac:dyDescent="0.45">
      <c r="A54" s="8" t="s">
        <v>381</v>
      </c>
      <c r="B54" s="8" t="s">
        <v>379</v>
      </c>
      <c r="C54" s="8" t="s">
        <v>309</v>
      </c>
      <c r="D54" s="8" t="s">
        <v>309</v>
      </c>
      <c r="E54" s="8" t="s">
        <v>309</v>
      </c>
      <c r="F54" s="8" t="s">
        <v>309</v>
      </c>
      <c r="G54" s="18" t="s">
        <v>380</v>
      </c>
    </row>
    <row r="55" spans="1:12" x14ac:dyDescent="0.45">
      <c r="A55" s="8" t="s">
        <v>382</v>
      </c>
      <c r="B55" s="8" t="s">
        <v>196</v>
      </c>
      <c r="C55" s="8" t="s">
        <v>309</v>
      </c>
      <c r="D55" s="8" t="s">
        <v>309</v>
      </c>
      <c r="E55" s="8" t="s">
        <v>309</v>
      </c>
      <c r="F55" s="8" t="s">
        <v>309</v>
      </c>
      <c r="G55" s="18" t="s">
        <v>383</v>
      </c>
    </row>
    <row r="56" spans="1:12" x14ac:dyDescent="0.45">
      <c r="A56" s="8" t="s">
        <v>384</v>
      </c>
      <c r="B56" s="8" t="s">
        <v>385</v>
      </c>
      <c r="C56" s="8"/>
      <c r="D56" s="8"/>
      <c r="E56" s="8"/>
      <c r="F56" s="8"/>
      <c r="G56" s="18" t="s">
        <v>386</v>
      </c>
    </row>
    <row r="58" spans="1:12" x14ac:dyDescent="0.45">
      <c r="A58" s="3" t="s">
        <v>387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45">
      <c r="A59" s="5" t="s">
        <v>388</v>
      </c>
      <c r="B59" s="11">
        <v>6</v>
      </c>
    </row>
    <row r="60" spans="1:12" x14ac:dyDescent="0.45">
      <c r="A60" s="5" t="s">
        <v>389</v>
      </c>
      <c r="B60" s="10">
        <f>MAX(ROUND($B$59*2,0),MAX(ROUND($B$59*1.6,0),MAX(ROUND($B$59*1.4,0),MAX(ROUND($B$59*1.2,0),$B$59+1)+1)+1)+1)</f>
        <v>12</v>
      </c>
    </row>
    <row r="61" spans="1:12" x14ac:dyDescent="0.45">
      <c r="A61" s="5" t="s">
        <v>390</v>
      </c>
      <c r="B61" s="11">
        <v>3</v>
      </c>
    </row>
    <row r="62" spans="1:12" x14ac:dyDescent="0.45">
      <c r="A62" s="5" t="s">
        <v>391</v>
      </c>
      <c r="B62" s="10">
        <f>MAX(INT($B$19*$B$61*$B$60/100+0.5),$B$61)</f>
        <v>5</v>
      </c>
    </row>
    <row r="63" spans="1:12" x14ac:dyDescent="0.45">
      <c r="A63" s="5" t="s">
        <v>392</v>
      </c>
      <c r="B63" s="11">
        <v>2</v>
      </c>
    </row>
    <row r="64" spans="1:12" x14ac:dyDescent="0.45">
      <c r="A64" s="5" t="s">
        <v>393</v>
      </c>
      <c r="B64" s="10">
        <f>$B$60+$B$62+$B$63</f>
        <v>19</v>
      </c>
    </row>
    <row r="65" spans="1:12" x14ac:dyDescent="0.45">
      <c r="A65" s="5" t="s">
        <v>394</v>
      </c>
      <c r="B65" s="10">
        <f>10</f>
        <v>10</v>
      </c>
      <c r="C65" s="2" t="s">
        <v>395</v>
      </c>
    </row>
    <row r="67" spans="1:12" x14ac:dyDescent="0.45">
      <c r="A67" s="3" t="s">
        <v>396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45">
      <c r="A68" s="2" t="s">
        <v>397</v>
      </c>
    </row>
    <row r="69" spans="1:12" x14ac:dyDescent="0.45">
      <c r="A69" s="6" t="s">
        <v>398</v>
      </c>
      <c r="B69" s="6" t="s">
        <v>399</v>
      </c>
      <c r="C69" s="6" t="s">
        <v>400</v>
      </c>
      <c r="D69" s="6" t="s">
        <v>401</v>
      </c>
      <c r="E69" s="6" t="s">
        <v>402</v>
      </c>
    </row>
    <row r="70" spans="1:12" x14ac:dyDescent="0.45">
      <c r="A70" s="8" t="s">
        <v>347</v>
      </c>
      <c r="B70" s="8" t="s">
        <v>403</v>
      </c>
      <c r="C70" s="8" t="s">
        <v>403</v>
      </c>
      <c r="D70" s="8" t="s">
        <v>403</v>
      </c>
      <c r="E70" s="8" t="s">
        <v>404</v>
      </c>
    </row>
    <row r="71" spans="1:12" x14ac:dyDescent="0.45">
      <c r="A71" s="8" t="s">
        <v>405</v>
      </c>
      <c r="B71" s="8" t="s">
        <v>406</v>
      </c>
      <c r="C71" s="8" t="s">
        <v>406</v>
      </c>
      <c r="D71" s="8" t="s">
        <v>406</v>
      </c>
      <c r="E71" s="8" t="s">
        <v>407</v>
      </c>
    </row>
    <row r="72" spans="1:12" x14ac:dyDescent="0.45">
      <c r="A72" s="8" t="s">
        <v>408</v>
      </c>
      <c r="B72" s="8" t="s">
        <v>409</v>
      </c>
      <c r="C72" s="8" t="s">
        <v>406</v>
      </c>
      <c r="D72" s="8" t="s">
        <v>309</v>
      </c>
      <c r="E72" s="8" t="s">
        <v>410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8"/>
  <sheetViews>
    <sheetView showGridLines="0" workbookViewId="0"/>
  </sheetViews>
  <sheetFormatPr baseColWidth="10" defaultColWidth="9.06640625" defaultRowHeight="14.25" x14ac:dyDescent="0.45"/>
  <cols>
    <col min="1" max="1" width="40" customWidth="1"/>
    <col min="2" max="8" width="13" customWidth="1"/>
    <col min="9" max="9" width="40" customWidth="1"/>
  </cols>
  <sheetData>
    <row r="1" spans="1:9" ht="17.649999999999999" x14ac:dyDescent="0.5">
      <c r="A1" s="1" t="s">
        <v>411</v>
      </c>
    </row>
    <row r="2" spans="1:9" x14ac:dyDescent="0.45">
      <c r="A2" s="2" t="s">
        <v>412</v>
      </c>
    </row>
    <row r="4" spans="1:9" x14ac:dyDescent="0.45">
      <c r="A4" s="3" t="s">
        <v>413</v>
      </c>
      <c r="B4" s="3"/>
      <c r="C4" s="3"/>
      <c r="D4" s="3"/>
      <c r="E4" s="3"/>
      <c r="F4" s="3"/>
      <c r="G4" s="3"/>
      <c r="H4" s="3"/>
      <c r="I4" s="3"/>
    </row>
    <row r="5" spans="1:9" x14ac:dyDescent="0.45">
      <c r="A5" s="5" t="s">
        <v>414</v>
      </c>
      <c r="B5" s="11">
        <v>10</v>
      </c>
    </row>
    <row r="6" spans="1:9" x14ac:dyDescent="0.45">
      <c r="A6" s="5" t="s">
        <v>415</v>
      </c>
      <c r="B6" s="11">
        <v>0</v>
      </c>
      <c r="C6" s="2" t="s">
        <v>416</v>
      </c>
    </row>
    <row r="7" spans="1:9" x14ac:dyDescent="0.45">
      <c r="A7" s="5" t="s">
        <v>417</v>
      </c>
      <c r="B7" s="11">
        <v>0</v>
      </c>
    </row>
    <row r="8" spans="1:9" x14ac:dyDescent="0.45">
      <c r="A8" s="5" t="s">
        <v>418</v>
      </c>
      <c r="B8" s="21">
        <v>1.5</v>
      </c>
    </row>
    <row r="9" spans="1:9" x14ac:dyDescent="0.45">
      <c r="A9" s="5" t="s">
        <v>419</v>
      </c>
      <c r="B9" s="11">
        <v>0</v>
      </c>
      <c r="C9" s="2" t="s">
        <v>420</v>
      </c>
    </row>
    <row r="10" spans="1:9" x14ac:dyDescent="0.45">
      <c r="A10" s="5" t="s">
        <v>421</v>
      </c>
      <c r="B10" s="11">
        <v>0</v>
      </c>
      <c r="C10" s="2" t="s">
        <v>422</v>
      </c>
    </row>
    <row r="11" spans="1:9" x14ac:dyDescent="0.45">
      <c r="A11" s="5" t="s">
        <v>423</v>
      </c>
      <c r="B11" s="11">
        <v>0</v>
      </c>
    </row>
    <row r="12" spans="1:9" x14ac:dyDescent="0.45">
      <c r="A12" s="5" t="s">
        <v>424</v>
      </c>
      <c r="B12" s="10">
        <f>IF($B$6=1,ROUND($B$5*0.75,0),$B$5)</f>
        <v>10</v>
      </c>
    </row>
    <row r="13" spans="1:9" x14ac:dyDescent="0.45">
      <c r="A13" s="5" t="s">
        <v>425</v>
      </c>
      <c r="B13" s="10">
        <f>IF($B$7=1,ROUND($B$12*$B$8,0),$B$12)</f>
        <v>10</v>
      </c>
    </row>
    <row r="14" spans="1:9" x14ac:dyDescent="0.45">
      <c r="A14" s="5" t="s">
        <v>426</v>
      </c>
      <c r="B14" s="10">
        <f>$B$13+$B$9</f>
        <v>10</v>
      </c>
    </row>
    <row r="15" spans="1:9" x14ac:dyDescent="0.45">
      <c r="A15" s="5" t="s">
        <v>427</v>
      </c>
      <c r="B15" s="10">
        <f>MAX(0,IF($B$10=1,ROUND($B$14*1.5,0),$B$14))</f>
        <v>10</v>
      </c>
    </row>
    <row r="16" spans="1:9" x14ac:dyDescent="0.45">
      <c r="A16" s="5" t="s">
        <v>428</v>
      </c>
      <c r="B16" s="10">
        <f>MAX(0,$B$11-$B$15)</f>
        <v>0</v>
      </c>
    </row>
    <row r="17" spans="1:9" x14ac:dyDescent="0.45">
      <c r="A17" s="5" t="s">
        <v>429</v>
      </c>
      <c r="B17" s="10">
        <f>MAX(0,$B$15-$B$11)</f>
        <v>10</v>
      </c>
      <c r="C17" s="2" t="s">
        <v>430</v>
      </c>
    </row>
    <row r="19" spans="1:9" x14ac:dyDescent="0.45">
      <c r="A19" s="3" t="s">
        <v>431</v>
      </c>
      <c r="B19" s="3"/>
      <c r="C19" s="3"/>
      <c r="D19" s="3"/>
      <c r="E19" s="3"/>
      <c r="F19" s="3"/>
      <c r="G19" s="3"/>
      <c r="H19" s="3"/>
      <c r="I19" s="3"/>
    </row>
    <row r="20" spans="1:9" x14ac:dyDescent="0.45">
      <c r="A20" s="5" t="s">
        <v>432</v>
      </c>
      <c r="B20" s="11">
        <v>8</v>
      </c>
    </row>
    <row r="21" spans="1:9" x14ac:dyDescent="0.45">
      <c r="A21" s="5" t="s">
        <v>433</v>
      </c>
      <c r="B21" s="11">
        <v>8</v>
      </c>
    </row>
    <row r="22" spans="1:9" x14ac:dyDescent="0.45">
      <c r="A22" s="5" t="s">
        <v>434</v>
      </c>
      <c r="B22" s="11">
        <v>8</v>
      </c>
      <c r="C22" s="2" t="s">
        <v>435</v>
      </c>
    </row>
    <row r="23" spans="1:9" x14ac:dyDescent="0.45">
      <c r="A23" s="5" t="s">
        <v>436</v>
      </c>
      <c r="B23" s="11">
        <v>0</v>
      </c>
    </row>
    <row r="24" spans="1:9" x14ac:dyDescent="0.45">
      <c r="A24" s="5" t="s">
        <v>437</v>
      </c>
      <c r="B24" s="11">
        <v>0</v>
      </c>
      <c r="C24" s="2" t="s">
        <v>438</v>
      </c>
    </row>
    <row r="25" spans="1:9" x14ac:dyDescent="0.45">
      <c r="A25" s="5" t="s">
        <v>439</v>
      </c>
      <c r="B25" s="10">
        <f>ROUND($B$20*$B$22/$B$21,0)</f>
        <v>8</v>
      </c>
    </row>
    <row r="26" spans="1:9" x14ac:dyDescent="0.45">
      <c r="A26" s="5" t="s">
        <v>440</v>
      </c>
      <c r="B26" s="10">
        <f>MAX($B$22+$B$23,$B$25+$B$23)</f>
        <v>8</v>
      </c>
    </row>
    <row r="27" spans="1:9" x14ac:dyDescent="0.45">
      <c r="A27" s="5" t="s">
        <v>441</v>
      </c>
      <c r="B27" s="10">
        <f>IF($B$24=1,ROUND($B$26*0.5,0),$B$26)</f>
        <v>8</v>
      </c>
      <c r="C27" s="2" t="s">
        <v>442</v>
      </c>
    </row>
    <row r="29" spans="1:9" x14ac:dyDescent="0.45">
      <c r="A29" s="3" t="s">
        <v>443</v>
      </c>
      <c r="B29" s="3"/>
      <c r="C29" s="3"/>
      <c r="D29" s="3"/>
      <c r="E29" s="3"/>
      <c r="F29" s="3"/>
      <c r="G29" s="3"/>
      <c r="H29" s="3"/>
      <c r="I29" s="3"/>
    </row>
    <row r="30" spans="1:9" x14ac:dyDescent="0.45">
      <c r="A30" s="2" t="s">
        <v>444</v>
      </c>
    </row>
    <row r="31" spans="1:9" x14ac:dyDescent="0.45">
      <c r="A31" s="6" t="s">
        <v>445</v>
      </c>
      <c r="B31" s="6" t="s">
        <v>446</v>
      </c>
      <c r="C31" s="6" t="s">
        <v>447</v>
      </c>
      <c r="D31" s="6" t="s">
        <v>448</v>
      </c>
      <c r="E31" s="6" t="s">
        <v>449</v>
      </c>
    </row>
    <row r="32" spans="1:9" x14ac:dyDescent="0.45">
      <c r="A32" s="8" t="s">
        <v>450</v>
      </c>
      <c r="B32" s="10">
        <v>3</v>
      </c>
      <c r="C32" s="10">
        <v>2</v>
      </c>
      <c r="D32" s="12">
        <f>B32*C32</f>
        <v>6</v>
      </c>
      <c r="E32" s="18" t="s">
        <v>451</v>
      </c>
    </row>
    <row r="33" spans="1:9" x14ac:dyDescent="0.45">
      <c r="A33" s="8" t="s">
        <v>452</v>
      </c>
      <c r="B33" s="10">
        <v>4</v>
      </c>
      <c r="C33" s="10">
        <v>4</v>
      </c>
      <c r="D33" s="12">
        <f>IF(C33&gt;=B33,B33*(B33+1)/2,C33*B33-C33*(C33-1)/2)</f>
        <v>10</v>
      </c>
      <c r="E33" s="18" t="s">
        <v>453</v>
      </c>
    </row>
    <row r="34" spans="1:9" x14ac:dyDescent="0.45">
      <c r="A34" s="6" t="s">
        <v>445</v>
      </c>
      <c r="B34" s="6" t="s">
        <v>272</v>
      </c>
      <c r="C34" s="6" t="s">
        <v>454</v>
      </c>
    </row>
    <row r="35" spans="1:9" x14ac:dyDescent="0.45">
      <c r="A35" s="8" t="s">
        <v>455</v>
      </c>
      <c r="B35" s="8" t="s">
        <v>456</v>
      </c>
      <c r="C35" s="8" t="s">
        <v>457</v>
      </c>
    </row>
    <row r="36" spans="1:9" x14ac:dyDescent="0.45">
      <c r="A36" s="8" t="s">
        <v>458</v>
      </c>
      <c r="B36" s="8" t="s">
        <v>459</v>
      </c>
      <c r="C36" s="8" t="s">
        <v>457</v>
      </c>
    </row>
    <row r="37" spans="1:9" x14ac:dyDescent="0.45">
      <c r="A37" s="8" t="s">
        <v>460</v>
      </c>
      <c r="B37" s="8" t="s">
        <v>461</v>
      </c>
      <c r="C37" s="8" t="s">
        <v>462</v>
      </c>
    </row>
    <row r="38" spans="1:9" x14ac:dyDescent="0.45">
      <c r="A38" s="8" t="s">
        <v>463</v>
      </c>
      <c r="B38" s="8" t="s">
        <v>464</v>
      </c>
      <c r="C38" s="8" t="s">
        <v>465</v>
      </c>
    </row>
    <row r="39" spans="1:9" x14ac:dyDescent="0.45">
      <c r="A39" s="8" t="s">
        <v>466</v>
      </c>
      <c r="B39" s="8" t="s">
        <v>467</v>
      </c>
      <c r="C39" s="8" t="s">
        <v>468</v>
      </c>
    </row>
    <row r="40" spans="1:9" x14ac:dyDescent="0.45">
      <c r="A40" s="8" t="s">
        <v>469</v>
      </c>
      <c r="B40" s="8" t="s">
        <v>470</v>
      </c>
      <c r="C40" s="8" t="s">
        <v>471</v>
      </c>
    </row>
    <row r="41" spans="1:9" x14ac:dyDescent="0.45">
      <c r="A41" s="8" t="s">
        <v>472</v>
      </c>
      <c r="B41" s="8" t="s">
        <v>473</v>
      </c>
      <c r="C41" s="8" t="s">
        <v>474</v>
      </c>
    </row>
    <row r="43" spans="1:9" x14ac:dyDescent="0.45">
      <c r="A43" s="3" t="s">
        <v>475</v>
      </c>
      <c r="B43" s="3"/>
      <c r="C43" s="3"/>
      <c r="D43" s="3"/>
      <c r="E43" s="3"/>
      <c r="F43" s="3"/>
      <c r="G43" s="3"/>
      <c r="H43" s="3"/>
      <c r="I43" s="3"/>
    </row>
    <row r="44" spans="1:9" x14ac:dyDescent="0.45">
      <c r="A44" s="5" t="s">
        <v>476</v>
      </c>
      <c r="B44" s="9">
        <v>0.5</v>
      </c>
      <c r="C44" s="2" t="s">
        <v>477</v>
      </c>
    </row>
    <row r="45" spans="1:9" x14ac:dyDescent="0.45">
      <c r="A45" s="6" t="s">
        <v>478</v>
      </c>
      <c r="B45" s="6" t="s">
        <v>479</v>
      </c>
    </row>
    <row r="46" spans="1:9" x14ac:dyDescent="0.45">
      <c r="A46" s="10">
        <v>1</v>
      </c>
      <c r="B46" s="12">
        <f t="shared" ref="B46:B57" si="0">MAX(1,CEILING(A46*$B$44-0.000000001,1))</f>
        <v>1</v>
      </c>
    </row>
    <row r="47" spans="1:9" x14ac:dyDescent="0.45">
      <c r="A47" s="10">
        <v>2</v>
      </c>
      <c r="B47" s="12">
        <f t="shared" si="0"/>
        <v>1</v>
      </c>
    </row>
    <row r="48" spans="1:9" x14ac:dyDescent="0.45">
      <c r="A48" s="10">
        <v>3</v>
      </c>
      <c r="B48" s="12">
        <f t="shared" si="0"/>
        <v>2</v>
      </c>
    </row>
    <row r="49" spans="1:2" x14ac:dyDescent="0.45">
      <c r="A49" s="10">
        <v>4</v>
      </c>
      <c r="B49" s="12">
        <f t="shared" si="0"/>
        <v>2</v>
      </c>
    </row>
    <row r="50" spans="1:2" x14ac:dyDescent="0.45">
      <c r="A50" s="10">
        <v>5</v>
      </c>
      <c r="B50" s="12">
        <f t="shared" si="0"/>
        <v>3</v>
      </c>
    </row>
    <row r="51" spans="1:2" x14ac:dyDescent="0.45">
      <c r="A51" s="10">
        <v>6</v>
      </c>
      <c r="B51" s="12">
        <f t="shared" si="0"/>
        <v>3</v>
      </c>
    </row>
    <row r="52" spans="1:2" x14ac:dyDescent="0.45">
      <c r="A52" s="10">
        <v>7</v>
      </c>
      <c r="B52" s="12">
        <f t="shared" si="0"/>
        <v>4</v>
      </c>
    </row>
    <row r="53" spans="1:2" x14ac:dyDescent="0.45">
      <c r="A53" s="10">
        <v>8</v>
      </c>
      <c r="B53" s="12">
        <f t="shared" si="0"/>
        <v>4</v>
      </c>
    </row>
    <row r="54" spans="1:2" x14ac:dyDescent="0.45">
      <c r="A54" s="10">
        <v>9</v>
      </c>
      <c r="B54" s="12">
        <f t="shared" si="0"/>
        <v>5</v>
      </c>
    </row>
    <row r="55" spans="1:2" x14ac:dyDescent="0.45">
      <c r="A55" s="10">
        <v>10</v>
      </c>
      <c r="B55" s="12">
        <f t="shared" si="0"/>
        <v>5</v>
      </c>
    </row>
    <row r="56" spans="1:2" x14ac:dyDescent="0.45">
      <c r="A56" s="10">
        <v>11</v>
      </c>
      <c r="B56" s="12">
        <f t="shared" si="0"/>
        <v>6</v>
      </c>
    </row>
    <row r="57" spans="1:2" x14ac:dyDescent="0.45">
      <c r="A57" s="10">
        <v>12</v>
      </c>
      <c r="B57" s="12">
        <f t="shared" si="0"/>
        <v>6</v>
      </c>
    </row>
    <row r="58" spans="1:2" x14ac:dyDescent="0.45">
      <c r="A58" s="2" t="s">
        <v>480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3"/>
  <sheetViews>
    <sheetView showGridLines="0" workbookViewId="0"/>
  </sheetViews>
  <sheetFormatPr baseColWidth="10" defaultColWidth="9.06640625" defaultRowHeight="14.25" x14ac:dyDescent="0.45"/>
  <cols>
    <col min="1" max="1" width="36" customWidth="1"/>
    <col min="2" max="8" width="12" customWidth="1"/>
    <col min="9" max="9" width="40" customWidth="1"/>
  </cols>
  <sheetData>
    <row r="1" spans="1:9" ht="17.649999999999999" x14ac:dyDescent="0.5">
      <c r="A1" s="1" t="s">
        <v>481</v>
      </c>
    </row>
    <row r="2" spans="1:9" x14ac:dyDescent="0.45">
      <c r="A2" s="2" t="s">
        <v>482</v>
      </c>
    </row>
    <row r="4" spans="1:9" x14ac:dyDescent="0.45">
      <c r="A4" s="3" t="s">
        <v>319</v>
      </c>
      <c r="B4" s="3"/>
      <c r="C4" s="3"/>
      <c r="D4" s="3"/>
      <c r="E4" s="3"/>
      <c r="F4" s="3"/>
      <c r="G4" s="3"/>
      <c r="H4" s="3"/>
      <c r="I4" s="3"/>
    </row>
    <row r="5" spans="1:9" x14ac:dyDescent="0.45">
      <c r="A5" s="6" t="s">
        <v>483</v>
      </c>
      <c r="B5" s="6" t="s">
        <v>484</v>
      </c>
      <c r="C5" s="6" t="s">
        <v>485</v>
      </c>
      <c r="D5" s="6" t="s">
        <v>486</v>
      </c>
      <c r="E5" s="6" t="s">
        <v>487</v>
      </c>
      <c r="F5" s="6" t="s">
        <v>488</v>
      </c>
      <c r="G5" s="6" t="s">
        <v>489</v>
      </c>
      <c r="H5" s="6" t="s">
        <v>490</v>
      </c>
      <c r="I5" s="6" t="s">
        <v>491</v>
      </c>
    </row>
    <row r="6" spans="1:9" x14ac:dyDescent="0.45">
      <c r="A6" s="7" t="s">
        <v>492</v>
      </c>
      <c r="B6" s="8" t="s">
        <v>493</v>
      </c>
      <c r="C6" s="8" t="s">
        <v>494</v>
      </c>
      <c r="D6" s="17">
        <v>1</v>
      </c>
      <c r="E6" s="17"/>
      <c r="F6" s="17">
        <v>5</v>
      </c>
      <c r="G6" s="8" t="s">
        <v>495</v>
      </c>
      <c r="H6" s="17" t="s">
        <v>496</v>
      </c>
      <c r="I6" s="18" t="s">
        <v>497</v>
      </c>
    </row>
    <row r="7" spans="1:9" x14ac:dyDescent="0.45">
      <c r="A7" s="7" t="s">
        <v>498</v>
      </c>
      <c r="B7" s="8" t="s">
        <v>499</v>
      </c>
      <c r="C7" s="8" t="s">
        <v>500</v>
      </c>
      <c r="D7" s="17">
        <v>1</v>
      </c>
      <c r="E7" s="17">
        <v>2</v>
      </c>
      <c r="F7" s="17"/>
      <c r="G7" s="8" t="s">
        <v>495</v>
      </c>
      <c r="H7" s="17" t="s">
        <v>496</v>
      </c>
      <c r="I7" s="18" t="s">
        <v>501</v>
      </c>
    </row>
    <row r="8" spans="1:9" x14ac:dyDescent="0.45">
      <c r="A8" s="7" t="s">
        <v>502</v>
      </c>
      <c r="B8" s="8" t="s">
        <v>503</v>
      </c>
      <c r="C8" s="8" t="s">
        <v>504</v>
      </c>
      <c r="D8" s="17">
        <v>1</v>
      </c>
      <c r="E8" s="17"/>
      <c r="F8" s="17"/>
      <c r="G8" s="8" t="s">
        <v>495</v>
      </c>
      <c r="H8" s="17" t="s">
        <v>496</v>
      </c>
      <c r="I8" s="18" t="s">
        <v>505</v>
      </c>
    </row>
    <row r="9" spans="1:9" x14ac:dyDescent="0.45">
      <c r="A9" s="7" t="s">
        <v>506</v>
      </c>
      <c r="B9" s="8" t="s">
        <v>493</v>
      </c>
      <c r="C9" s="8" t="s">
        <v>507</v>
      </c>
      <c r="D9" s="17">
        <v>1</v>
      </c>
      <c r="E9" s="17">
        <v>2</v>
      </c>
      <c r="F9" s="17"/>
      <c r="G9" s="8" t="s">
        <v>495</v>
      </c>
      <c r="H9" s="17" t="s">
        <v>496</v>
      </c>
      <c r="I9" s="18" t="s">
        <v>508</v>
      </c>
    </row>
    <row r="10" spans="1:9" x14ac:dyDescent="0.45">
      <c r="A10" s="7" t="s">
        <v>509</v>
      </c>
      <c r="B10" s="8" t="s">
        <v>499</v>
      </c>
      <c r="C10" s="8" t="s">
        <v>510</v>
      </c>
      <c r="D10" s="17">
        <v>2</v>
      </c>
      <c r="E10" s="17">
        <v>1</v>
      </c>
      <c r="F10" s="17"/>
      <c r="G10" s="8" t="s">
        <v>495</v>
      </c>
      <c r="H10" s="17" t="s">
        <v>496</v>
      </c>
      <c r="I10" s="18" t="s">
        <v>511</v>
      </c>
    </row>
    <row r="11" spans="1:9" x14ac:dyDescent="0.45">
      <c r="A11" s="7" t="s">
        <v>512</v>
      </c>
      <c r="B11" s="8" t="s">
        <v>503</v>
      </c>
      <c r="C11" s="8" t="s">
        <v>500</v>
      </c>
      <c r="D11" s="17">
        <v>1</v>
      </c>
      <c r="E11" s="17">
        <v>2</v>
      </c>
      <c r="F11" s="17"/>
      <c r="G11" s="8" t="s">
        <v>513</v>
      </c>
      <c r="H11" s="17" t="s">
        <v>496</v>
      </c>
      <c r="I11" s="18" t="s">
        <v>514</v>
      </c>
    </row>
    <row r="12" spans="1:9" x14ac:dyDescent="0.45">
      <c r="A12" s="7" t="s">
        <v>515</v>
      </c>
      <c r="B12" s="8" t="s">
        <v>503</v>
      </c>
      <c r="C12" s="8" t="s">
        <v>516</v>
      </c>
      <c r="D12" s="17">
        <v>1</v>
      </c>
      <c r="E12" s="17"/>
      <c r="F12" s="17">
        <v>3</v>
      </c>
      <c r="G12" s="8" t="s">
        <v>517</v>
      </c>
      <c r="H12" s="17" t="s">
        <v>518</v>
      </c>
      <c r="I12" s="18" t="s">
        <v>519</v>
      </c>
    </row>
    <row r="13" spans="1:9" x14ac:dyDescent="0.45">
      <c r="A13" s="7" t="s">
        <v>520</v>
      </c>
      <c r="B13" s="8" t="s">
        <v>499</v>
      </c>
      <c r="C13" s="8" t="s">
        <v>494</v>
      </c>
      <c r="D13" s="17">
        <v>1</v>
      </c>
      <c r="E13" s="17">
        <v>1</v>
      </c>
      <c r="F13" s="17"/>
      <c r="G13" s="8" t="s">
        <v>495</v>
      </c>
      <c r="H13" s="17" t="s">
        <v>496</v>
      </c>
      <c r="I13" s="18" t="s">
        <v>521</v>
      </c>
    </row>
    <row r="14" spans="1:9" x14ac:dyDescent="0.45">
      <c r="A14" s="7" t="s">
        <v>522</v>
      </c>
      <c r="B14" s="8" t="s">
        <v>493</v>
      </c>
      <c r="C14" s="8" t="s">
        <v>504</v>
      </c>
      <c r="D14" s="17">
        <v>2</v>
      </c>
      <c r="E14" s="17"/>
      <c r="F14" s="17"/>
      <c r="G14" s="8" t="s">
        <v>495</v>
      </c>
      <c r="H14" s="17" t="s">
        <v>496</v>
      </c>
      <c r="I14" s="18" t="s">
        <v>523</v>
      </c>
    </row>
    <row r="16" spans="1:9" x14ac:dyDescent="0.45">
      <c r="A16" s="3" t="s">
        <v>524</v>
      </c>
      <c r="B16" s="3"/>
      <c r="C16" s="3"/>
      <c r="D16" s="3"/>
      <c r="E16" s="3"/>
      <c r="F16" s="3"/>
      <c r="G16" s="3"/>
      <c r="H16" s="3"/>
      <c r="I16" s="3"/>
    </row>
    <row r="17" spans="1:3" x14ac:dyDescent="0.45">
      <c r="A17" s="5" t="s">
        <v>525</v>
      </c>
      <c r="B17" s="11">
        <v>1</v>
      </c>
      <c r="C17" s="2" t="s">
        <v>526</v>
      </c>
    </row>
    <row r="18" spans="1:3" x14ac:dyDescent="0.45">
      <c r="A18" s="5" t="s">
        <v>117</v>
      </c>
      <c r="B18" s="11">
        <v>80</v>
      </c>
    </row>
    <row r="19" spans="1:3" x14ac:dyDescent="0.45">
      <c r="A19" s="5" t="s">
        <v>527</v>
      </c>
      <c r="B19" s="11">
        <v>50</v>
      </c>
    </row>
    <row r="20" spans="1:3" x14ac:dyDescent="0.45">
      <c r="A20" s="5" t="s">
        <v>528</v>
      </c>
      <c r="B20" s="11">
        <v>12</v>
      </c>
    </row>
    <row r="21" spans="1:3" x14ac:dyDescent="0.45">
      <c r="A21" s="5" t="s">
        <v>529</v>
      </c>
      <c r="B21" s="11">
        <v>2</v>
      </c>
    </row>
    <row r="22" spans="1:3" x14ac:dyDescent="0.45">
      <c r="A22" s="6" t="s">
        <v>483</v>
      </c>
      <c r="B22" s="6" t="s">
        <v>449</v>
      </c>
      <c r="C22" s="6" t="s">
        <v>402</v>
      </c>
    </row>
    <row r="23" spans="1:3" x14ac:dyDescent="0.45">
      <c r="A23" s="8" t="s">
        <v>530</v>
      </c>
      <c r="B23" s="8" t="s">
        <v>531</v>
      </c>
      <c r="C23" s="12">
        <f>2+$B$17</f>
        <v>3</v>
      </c>
    </row>
    <row r="24" spans="1:3" x14ac:dyDescent="0.45">
      <c r="A24" s="8" t="s">
        <v>532</v>
      </c>
      <c r="B24" s="8" t="s">
        <v>533</v>
      </c>
      <c r="C24" s="12">
        <f>1+$B$17</f>
        <v>2</v>
      </c>
    </row>
    <row r="25" spans="1:3" x14ac:dyDescent="0.45">
      <c r="A25" s="8" t="s">
        <v>534</v>
      </c>
      <c r="B25" s="8" t="s">
        <v>535</v>
      </c>
      <c r="C25" s="12">
        <f>INT($B$20/5)*(1+$B$17)</f>
        <v>4</v>
      </c>
    </row>
    <row r="26" spans="1:3" x14ac:dyDescent="0.45">
      <c r="A26" s="8" t="s">
        <v>536</v>
      </c>
      <c r="B26" s="8" t="s">
        <v>537</v>
      </c>
      <c r="C26" s="12">
        <f>(1+$B$17)*(1+INT(($B$18-$B$19)/10))</f>
        <v>8</v>
      </c>
    </row>
    <row r="27" spans="1:3" x14ac:dyDescent="0.45">
      <c r="A27" s="8" t="s">
        <v>538</v>
      </c>
      <c r="B27" s="8" t="s">
        <v>539</v>
      </c>
      <c r="C27" s="12">
        <f>(1+$B$17)+INT(INT(($B$18-$B$19)*100/$B$18)/25)</f>
        <v>3</v>
      </c>
    </row>
    <row r="28" spans="1:3" x14ac:dyDescent="0.45">
      <c r="A28" s="8" t="s">
        <v>540</v>
      </c>
      <c r="B28" s="8" t="s">
        <v>541</v>
      </c>
      <c r="C28" s="12">
        <f>2+$B$17</f>
        <v>3</v>
      </c>
    </row>
    <row r="29" spans="1:3" x14ac:dyDescent="0.45">
      <c r="A29" s="8" t="s">
        <v>542</v>
      </c>
      <c r="B29" s="8" t="s">
        <v>543</v>
      </c>
      <c r="C29" s="12">
        <f>$B$21*(1+$B$17)</f>
        <v>4</v>
      </c>
    </row>
    <row r="30" spans="1:3" x14ac:dyDescent="0.45">
      <c r="A30" s="8" t="s">
        <v>544</v>
      </c>
      <c r="B30" s="8" t="s">
        <v>545</v>
      </c>
      <c r="C30" s="12">
        <f>2+$B$17</f>
        <v>3</v>
      </c>
    </row>
    <row r="31" spans="1:3" x14ac:dyDescent="0.45">
      <c r="A31" s="8" t="s">
        <v>546</v>
      </c>
      <c r="B31" s="8" t="s">
        <v>547</v>
      </c>
      <c r="C31" s="12">
        <f>MAX(2,3-$B$17)</f>
        <v>2</v>
      </c>
    </row>
    <row r="33" spans="1:9" x14ac:dyDescent="0.45">
      <c r="A33" s="3" t="s">
        <v>548</v>
      </c>
      <c r="B33" s="3"/>
      <c r="C33" s="3"/>
      <c r="D33" s="3"/>
      <c r="E33" s="3"/>
      <c r="F33" s="3"/>
      <c r="G33" s="3"/>
      <c r="H33" s="3"/>
      <c r="I33" s="3"/>
    </row>
    <row r="34" spans="1:9" x14ac:dyDescent="0.45">
      <c r="A34" s="6" t="s">
        <v>549</v>
      </c>
      <c r="B34" s="6" t="s">
        <v>550</v>
      </c>
      <c r="C34" s="6" t="s">
        <v>551</v>
      </c>
      <c r="D34" s="6" t="s">
        <v>552</v>
      </c>
      <c r="E34" s="6" t="s">
        <v>553</v>
      </c>
      <c r="F34" s="6" t="s">
        <v>554</v>
      </c>
    </row>
    <row r="35" spans="1:9" x14ac:dyDescent="0.45">
      <c r="A35" s="10">
        <v>0</v>
      </c>
      <c r="B35" s="12">
        <f t="shared" ref="B35:B43" si="0">1*(1+INT(A35/10))</f>
        <v>1</v>
      </c>
      <c r="C35" s="12">
        <f t="shared" ref="C35:C43" si="1">2*(1+INT(A35/10))</f>
        <v>2</v>
      </c>
      <c r="D35" s="12">
        <f t="shared" ref="D35:D43" si="2">4*(1+INT(A35/10))</f>
        <v>4</v>
      </c>
      <c r="E35" s="12">
        <f t="shared" ref="E35:E43" si="3">1+INT(INT(A35*100/$B$18)/25)</f>
        <v>1</v>
      </c>
      <c r="F35" s="12">
        <f t="shared" ref="F35:F43" si="4">3+INT(INT(A35*100/$B$18)/25)</f>
        <v>3</v>
      </c>
    </row>
    <row r="36" spans="1:9" x14ac:dyDescent="0.45">
      <c r="A36" s="10">
        <v>10</v>
      </c>
      <c r="B36" s="12">
        <f t="shared" si="0"/>
        <v>2</v>
      </c>
      <c r="C36" s="12">
        <f t="shared" si="1"/>
        <v>4</v>
      </c>
      <c r="D36" s="12">
        <f t="shared" si="2"/>
        <v>8</v>
      </c>
      <c r="E36" s="12">
        <f t="shared" si="3"/>
        <v>1</v>
      </c>
      <c r="F36" s="12">
        <f t="shared" si="4"/>
        <v>3</v>
      </c>
    </row>
    <row r="37" spans="1:9" x14ac:dyDescent="0.45">
      <c r="A37" s="10">
        <v>20</v>
      </c>
      <c r="B37" s="12">
        <f t="shared" si="0"/>
        <v>3</v>
      </c>
      <c r="C37" s="12">
        <f t="shared" si="1"/>
        <v>6</v>
      </c>
      <c r="D37" s="12">
        <f t="shared" si="2"/>
        <v>12</v>
      </c>
      <c r="E37" s="12">
        <f t="shared" si="3"/>
        <v>2</v>
      </c>
      <c r="F37" s="12">
        <f t="shared" si="4"/>
        <v>4</v>
      </c>
    </row>
    <row r="38" spans="1:9" x14ac:dyDescent="0.45">
      <c r="A38" s="10">
        <v>30</v>
      </c>
      <c r="B38" s="12">
        <f t="shared" si="0"/>
        <v>4</v>
      </c>
      <c r="C38" s="12">
        <f t="shared" si="1"/>
        <v>8</v>
      </c>
      <c r="D38" s="12">
        <f t="shared" si="2"/>
        <v>16</v>
      </c>
      <c r="E38" s="12">
        <f t="shared" si="3"/>
        <v>2</v>
      </c>
      <c r="F38" s="12">
        <f t="shared" si="4"/>
        <v>4</v>
      </c>
    </row>
    <row r="39" spans="1:9" x14ac:dyDescent="0.45">
      <c r="A39" s="10">
        <v>40</v>
      </c>
      <c r="B39" s="12">
        <f t="shared" si="0"/>
        <v>5</v>
      </c>
      <c r="C39" s="12">
        <f t="shared" si="1"/>
        <v>10</v>
      </c>
      <c r="D39" s="12">
        <f t="shared" si="2"/>
        <v>20</v>
      </c>
      <c r="E39" s="12">
        <f t="shared" si="3"/>
        <v>3</v>
      </c>
      <c r="F39" s="12">
        <f t="shared" si="4"/>
        <v>5</v>
      </c>
    </row>
    <row r="40" spans="1:9" x14ac:dyDescent="0.45">
      <c r="A40" s="10">
        <v>50</v>
      </c>
      <c r="B40" s="12">
        <f t="shared" si="0"/>
        <v>6</v>
      </c>
      <c r="C40" s="12">
        <f t="shared" si="1"/>
        <v>12</v>
      </c>
      <c r="D40" s="12">
        <f t="shared" si="2"/>
        <v>24</v>
      </c>
      <c r="E40" s="12">
        <f t="shared" si="3"/>
        <v>3</v>
      </c>
      <c r="F40" s="12">
        <f t="shared" si="4"/>
        <v>5</v>
      </c>
    </row>
    <row r="41" spans="1:9" x14ac:dyDescent="0.45">
      <c r="A41" s="10">
        <v>60</v>
      </c>
      <c r="B41" s="12">
        <f t="shared" si="0"/>
        <v>7</v>
      </c>
      <c r="C41" s="12">
        <f t="shared" si="1"/>
        <v>14</v>
      </c>
      <c r="D41" s="12">
        <f t="shared" si="2"/>
        <v>28</v>
      </c>
      <c r="E41" s="12">
        <f t="shared" si="3"/>
        <v>4</v>
      </c>
      <c r="F41" s="12">
        <f t="shared" si="4"/>
        <v>6</v>
      </c>
    </row>
    <row r="42" spans="1:9" x14ac:dyDescent="0.45">
      <c r="A42" s="10">
        <v>70</v>
      </c>
      <c r="B42" s="12">
        <f t="shared" si="0"/>
        <v>8</v>
      </c>
      <c r="C42" s="12">
        <f t="shared" si="1"/>
        <v>16</v>
      </c>
      <c r="D42" s="12">
        <f t="shared" si="2"/>
        <v>32</v>
      </c>
      <c r="E42" s="12">
        <f t="shared" si="3"/>
        <v>4</v>
      </c>
      <c r="F42" s="12">
        <f t="shared" si="4"/>
        <v>6</v>
      </c>
    </row>
    <row r="43" spans="1:9" x14ac:dyDescent="0.45">
      <c r="A43" s="10">
        <v>80</v>
      </c>
      <c r="B43" s="12">
        <f t="shared" si="0"/>
        <v>9</v>
      </c>
      <c r="C43" s="12">
        <f t="shared" si="1"/>
        <v>18</v>
      </c>
      <c r="D43" s="12">
        <f t="shared" si="2"/>
        <v>36</v>
      </c>
      <c r="E43" s="12">
        <f t="shared" si="3"/>
        <v>5</v>
      </c>
      <c r="F43" s="12">
        <f t="shared" si="4"/>
        <v>7</v>
      </c>
    </row>
    <row r="45" spans="1:9" x14ac:dyDescent="0.45">
      <c r="A45" s="3" t="s">
        <v>555</v>
      </c>
      <c r="B45" s="3"/>
      <c r="C45" s="3"/>
      <c r="D45" s="3"/>
      <c r="E45" s="3"/>
      <c r="F45" s="3"/>
      <c r="G45" s="3"/>
      <c r="H45" s="3"/>
      <c r="I45" s="3"/>
    </row>
    <row r="46" spans="1:9" x14ac:dyDescent="0.45">
      <c r="A46" s="6" t="s">
        <v>556</v>
      </c>
      <c r="B46" s="6" t="s">
        <v>557</v>
      </c>
      <c r="C46" s="6" t="s">
        <v>558</v>
      </c>
      <c r="D46" s="6" t="s">
        <v>559</v>
      </c>
    </row>
    <row r="47" spans="1:9" x14ac:dyDescent="0.45">
      <c r="A47" s="10">
        <v>0</v>
      </c>
      <c r="B47" s="12">
        <f t="shared" ref="B47:B53" si="5">INT(A47/5)*1</f>
        <v>0</v>
      </c>
      <c r="C47" s="12">
        <f t="shared" ref="C47:C53" si="6">INT(A47/5)*2</f>
        <v>0</v>
      </c>
      <c r="D47" s="12">
        <f t="shared" ref="D47:D53" si="7">INT(A47/5)*4</f>
        <v>0</v>
      </c>
    </row>
    <row r="48" spans="1:9" x14ac:dyDescent="0.45">
      <c r="A48" s="10">
        <v>5</v>
      </c>
      <c r="B48" s="12">
        <f t="shared" si="5"/>
        <v>1</v>
      </c>
      <c r="C48" s="12">
        <f t="shared" si="6"/>
        <v>2</v>
      </c>
      <c r="D48" s="12">
        <f t="shared" si="7"/>
        <v>4</v>
      </c>
    </row>
    <row r="49" spans="1:4" x14ac:dyDescent="0.45">
      <c r="A49" s="10">
        <v>10</v>
      </c>
      <c r="B49" s="12">
        <f t="shared" si="5"/>
        <v>2</v>
      </c>
      <c r="C49" s="12">
        <f t="shared" si="6"/>
        <v>4</v>
      </c>
      <c r="D49" s="12">
        <f t="shared" si="7"/>
        <v>8</v>
      </c>
    </row>
    <row r="50" spans="1:4" x14ac:dyDescent="0.45">
      <c r="A50" s="10">
        <v>15</v>
      </c>
      <c r="B50" s="12">
        <f t="shared" si="5"/>
        <v>3</v>
      </c>
      <c r="C50" s="12">
        <f t="shared" si="6"/>
        <v>6</v>
      </c>
      <c r="D50" s="12">
        <f t="shared" si="7"/>
        <v>12</v>
      </c>
    </row>
    <row r="51" spans="1:4" x14ac:dyDescent="0.45">
      <c r="A51" s="10">
        <v>20</v>
      </c>
      <c r="B51" s="12">
        <f t="shared" si="5"/>
        <v>4</v>
      </c>
      <c r="C51" s="12">
        <f t="shared" si="6"/>
        <v>8</v>
      </c>
      <c r="D51" s="12">
        <f t="shared" si="7"/>
        <v>16</v>
      </c>
    </row>
    <row r="52" spans="1:4" x14ac:dyDescent="0.45">
      <c r="A52" s="10">
        <v>25</v>
      </c>
      <c r="B52" s="12">
        <f t="shared" si="5"/>
        <v>5</v>
      </c>
      <c r="C52" s="12">
        <f t="shared" si="6"/>
        <v>10</v>
      </c>
      <c r="D52" s="12">
        <f t="shared" si="7"/>
        <v>20</v>
      </c>
    </row>
    <row r="53" spans="1:4" x14ac:dyDescent="0.45">
      <c r="A53" s="10">
        <v>30</v>
      </c>
      <c r="B53" s="12">
        <f t="shared" si="5"/>
        <v>6</v>
      </c>
      <c r="C53" s="12">
        <f t="shared" si="6"/>
        <v>12</v>
      </c>
      <c r="D53" s="12">
        <f t="shared" si="7"/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0"/>
  <sheetViews>
    <sheetView showGridLines="0" workbookViewId="0"/>
  </sheetViews>
  <sheetFormatPr baseColWidth="10" defaultColWidth="9.06640625" defaultRowHeight="14.25" x14ac:dyDescent="0.45"/>
  <cols>
    <col min="1" max="1" width="34" customWidth="1"/>
    <col min="2" max="8" width="12" customWidth="1"/>
    <col min="9" max="9" width="40" customWidth="1"/>
  </cols>
  <sheetData>
    <row r="1" spans="1:9" ht="17.649999999999999" x14ac:dyDescent="0.5">
      <c r="A1" s="1" t="s">
        <v>560</v>
      </c>
    </row>
    <row r="2" spans="1:9" x14ac:dyDescent="0.45">
      <c r="A2" s="2" t="s">
        <v>561</v>
      </c>
    </row>
    <row r="4" spans="1:9" x14ac:dyDescent="0.45">
      <c r="A4" s="3" t="s">
        <v>562</v>
      </c>
      <c r="B4" s="3"/>
      <c r="C4" s="3"/>
      <c r="D4" s="3"/>
      <c r="E4" s="3"/>
      <c r="F4" s="3"/>
      <c r="G4" s="3"/>
      <c r="H4" s="3"/>
      <c r="I4" s="3"/>
    </row>
    <row r="5" spans="1:9" x14ac:dyDescent="0.45">
      <c r="A5" s="6" t="s">
        <v>484</v>
      </c>
      <c r="B5" s="6" t="s">
        <v>117</v>
      </c>
      <c r="C5" s="6" t="s">
        <v>120</v>
      </c>
      <c r="D5" s="6" t="s">
        <v>563</v>
      </c>
      <c r="E5" s="6" t="s">
        <v>564</v>
      </c>
      <c r="F5" s="6" t="s">
        <v>565</v>
      </c>
      <c r="G5" s="6" t="s">
        <v>566</v>
      </c>
      <c r="H5" s="6" t="s">
        <v>567</v>
      </c>
      <c r="I5" s="6" t="s">
        <v>568</v>
      </c>
    </row>
    <row r="6" spans="1:9" x14ac:dyDescent="0.45">
      <c r="A6" s="7" t="s">
        <v>569</v>
      </c>
      <c r="B6" s="10">
        <v>80</v>
      </c>
      <c r="C6" s="10">
        <v>3</v>
      </c>
      <c r="D6" s="10">
        <v>10</v>
      </c>
      <c r="E6" s="10">
        <v>0</v>
      </c>
      <c r="F6" s="10">
        <v>0</v>
      </c>
      <c r="G6" s="8" t="s">
        <v>570</v>
      </c>
      <c r="H6" s="18" t="s">
        <v>571</v>
      </c>
      <c r="I6" s="18" t="s">
        <v>572</v>
      </c>
    </row>
    <row r="7" spans="1:9" x14ac:dyDescent="0.45">
      <c r="A7" s="7" t="s">
        <v>573</v>
      </c>
      <c r="B7" s="10">
        <v>60</v>
      </c>
      <c r="C7" s="10">
        <v>3</v>
      </c>
      <c r="D7" s="10">
        <v>0</v>
      </c>
      <c r="E7" s="10">
        <v>0</v>
      </c>
      <c r="F7" s="10">
        <v>0</v>
      </c>
      <c r="G7" s="8" t="s">
        <v>574</v>
      </c>
      <c r="H7" s="18" t="s">
        <v>309</v>
      </c>
      <c r="I7" s="18" t="s">
        <v>575</v>
      </c>
    </row>
    <row r="8" spans="1:9" x14ac:dyDescent="0.45">
      <c r="A8" s="7" t="s">
        <v>576</v>
      </c>
      <c r="B8" s="10">
        <v>100</v>
      </c>
      <c r="C8" s="10">
        <v>3</v>
      </c>
      <c r="D8" s="10">
        <v>0</v>
      </c>
      <c r="E8" s="10">
        <v>1</v>
      </c>
      <c r="F8" s="10">
        <v>0</v>
      </c>
      <c r="G8" s="8" t="s">
        <v>577</v>
      </c>
      <c r="H8" s="18" t="s">
        <v>309</v>
      </c>
      <c r="I8" s="18" t="s">
        <v>578</v>
      </c>
    </row>
    <row r="9" spans="1:9" x14ac:dyDescent="0.45">
      <c r="A9" s="2" t="s">
        <v>579</v>
      </c>
    </row>
    <row r="11" spans="1:9" x14ac:dyDescent="0.45">
      <c r="A11" s="3" t="s">
        <v>580</v>
      </c>
      <c r="B11" s="3"/>
      <c r="C11" s="3"/>
      <c r="D11" s="3"/>
      <c r="E11" s="3"/>
      <c r="F11" s="3"/>
      <c r="G11" s="3"/>
      <c r="H11" s="3"/>
      <c r="I11" s="3"/>
    </row>
    <row r="12" spans="1:9" x14ac:dyDescent="0.45">
      <c r="A12" s="6" t="s">
        <v>258</v>
      </c>
      <c r="B12" s="6" t="s">
        <v>581</v>
      </c>
    </row>
    <row r="13" spans="1:9" x14ac:dyDescent="0.45">
      <c r="A13" s="8" t="s">
        <v>216</v>
      </c>
      <c r="B13" s="22">
        <v>0.52</v>
      </c>
    </row>
    <row r="14" spans="1:9" x14ac:dyDescent="0.45">
      <c r="A14" s="8" t="s">
        <v>217</v>
      </c>
      <c r="B14" s="22">
        <v>0.24</v>
      </c>
    </row>
    <row r="15" spans="1:9" x14ac:dyDescent="0.45">
      <c r="A15" s="8" t="s">
        <v>218</v>
      </c>
      <c r="B15" s="22">
        <v>0.16</v>
      </c>
    </row>
    <row r="16" spans="1:9" x14ac:dyDescent="0.45">
      <c r="A16" s="8" t="s">
        <v>219</v>
      </c>
      <c r="B16" s="22">
        <v>0.06</v>
      </c>
    </row>
    <row r="17" spans="1:9" x14ac:dyDescent="0.45">
      <c r="A17" s="8" t="s">
        <v>220</v>
      </c>
      <c r="B17" s="22">
        <v>0.02</v>
      </c>
    </row>
    <row r="18" spans="1:9" x14ac:dyDescent="0.45">
      <c r="A18" s="7" t="s">
        <v>582</v>
      </c>
      <c r="B18" s="23">
        <f>SUM(B13:B17)</f>
        <v>1</v>
      </c>
    </row>
    <row r="19" spans="1:9" x14ac:dyDescent="0.45">
      <c r="A19" s="2" t="s">
        <v>583</v>
      </c>
    </row>
    <row r="20" spans="1:9" x14ac:dyDescent="0.45">
      <c r="A20" s="6" t="s">
        <v>584</v>
      </c>
      <c r="B20" s="6" t="s">
        <v>585</v>
      </c>
      <c r="C20" s="6" t="s">
        <v>216</v>
      </c>
      <c r="D20" s="6" t="s">
        <v>217</v>
      </c>
      <c r="E20" s="6" t="s">
        <v>218</v>
      </c>
      <c r="F20" s="6" t="s">
        <v>219</v>
      </c>
      <c r="G20" s="6" t="s">
        <v>220</v>
      </c>
      <c r="H20" s="6" t="s">
        <v>586</v>
      </c>
      <c r="I20" s="6" t="s">
        <v>587</v>
      </c>
    </row>
    <row r="21" spans="1:9" x14ac:dyDescent="0.45">
      <c r="A21" s="8" t="s">
        <v>588</v>
      </c>
      <c r="B21" s="8" t="s">
        <v>589</v>
      </c>
      <c r="C21" s="10">
        <v>5</v>
      </c>
      <c r="D21" s="10">
        <v>8</v>
      </c>
      <c r="E21" s="10">
        <v>10</v>
      </c>
      <c r="F21" s="10">
        <v>15</v>
      </c>
      <c r="G21" s="10">
        <v>20</v>
      </c>
      <c r="H21" s="13">
        <f>C21*$B$13+D21*$B$14+E21*$B$15+F21*$B$16+G21*$B$17</f>
        <v>7.42</v>
      </c>
      <c r="I21" s="10"/>
    </row>
    <row r="22" spans="1:9" x14ac:dyDescent="0.45">
      <c r="A22" s="8" t="s">
        <v>590</v>
      </c>
      <c r="B22" s="8" t="s">
        <v>591</v>
      </c>
      <c r="C22" s="10">
        <v>2</v>
      </c>
      <c r="D22" s="10">
        <v>3</v>
      </c>
      <c r="E22" s="10">
        <v>4</v>
      </c>
      <c r="F22" s="10">
        <v>6</v>
      </c>
      <c r="G22" s="10">
        <v>8</v>
      </c>
      <c r="H22" s="13">
        <f>C22*$B$13+D22*$B$14+E22*$B$15+F22*$B$16+G22*$B$17</f>
        <v>2.92</v>
      </c>
      <c r="I22" s="10"/>
    </row>
    <row r="23" spans="1:9" x14ac:dyDescent="0.45">
      <c r="A23" s="8" t="s">
        <v>592</v>
      </c>
      <c r="B23" s="8" t="s">
        <v>593</v>
      </c>
      <c r="C23" s="10">
        <v>1</v>
      </c>
      <c r="D23" s="10">
        <v>2</v>
      </c>
      <c r="E23" s="10">
        <v>3</v>
      </c>
      <c r="F23" s="10">
        <v>5</v>
      </c>
      <c r="G23" s="10">
        <v>7</v>
      </c>
      <c r="H23" s="13">
        <f>C23*$B$13+D23*$B$14+E23*$B$15+F23*$B$16+G23*$B$17</f>
        <v>1.92</v>
      </c>
      <c r="I23" s="10"/>
    </row>
    <row r="24" spans="1:9" x14ac:dyDescent="0.45">
      <c r="A24" s="8" t="s">
        <v>594</v>
      </c>
      <c r="B24" s="8" t="s">
        <v>595</v>
      </c>
      <c r="C24" s="10"/>
      <c r="D24" s="10"/>
      <c r="E24" s="10"/>
      <c r="F24" s="10"/>
      <c r="G24" s="10"/>
      <c r="H24" s="13" t="s">
        <v>309</v>
      </c>
      <c r="I24" s="10">
        <v>1</v>
      </c>
    </row>
    <row r="25" spans="1:9" x14ac:dyDescent="0.45">
      <c r="A25" s="8" t="s">
        <v>596</v>
      </c>
      <c r="B25" s="8" t="s">
        <v>597</v>
      </c>
      <c r="C25" s="10">
        <v>1</v>
      </c>
      <c r="D25" s="10">
        <v>2</v>
      </c>
      <c r="E25" s="10">
        <v>3</v>
      </c>
      <c r="F25" s="10">
        <v>4</v>
      </c>
      <c r="G25" s="10">
        <v>5</v>
      </c>
      <c r="H25" s="13">
        <f>C25*$B$13+D25*$B$14+E25*$B$15+F25*$B$16+G25*$B$17</f>
        <v>1.82</v>
      </c>
      <c r="I25" s="10"/>
    </row>
    <row r="26" spans="1:9" x14ac:dyDescent="0.45">
      <c r="A26" s="8" t="s">
        <v>598</v>
      </c>
      <c r="B26" s="8" t="s">
        <v>599</v>
      </c>
      <c r="C26" s="10">
        <v>10</v>
      </c>
      <c r="D26" s="10">
        <v>20</v>
      </c>
      <c r="E26" s="10">
        <v>30</v>
      </c>
      <c r="F26" s="10">
        <v>40</v>
      </c>
      <c r="G26" s="10">
        <v>50</v>
      </c>
      <c r="H26" s="13">
        <f>C26*$B$13+D26*$B$14+E26*$B$15+F26*$B$16+G26*$B$17</f>
        <v>18.2</v>
      </c>
      <c r="I26" s="10"/>
    </row>
    <row r="27" spans="1:9" x14ac:dyDescent="0.45">
      <c r="A27" s="8" t="s">
        <v>600</v>
      </c>
      <c r="B27" s="8" t="s">
        <v>601</v>
      </c>
      <c r="C27" s="10"/>
      <c r="D27" s="10"/>
      <c r="E27" s="10"/>
      <c r="F27" s="10"/>
      <c r="G27" s="10"/>
      <c r="H27" s="13" t="s">
        <v>309</v>
      </c>
      <c r="I27" s="10">
        <v>1</v>
      </c>
    </row>
    <row r="28" spans="1:9" x14ac:dyDescent="0.45">
      <c r="A28" s="8" t="s">
        <v>602</v>
      </c>
      <c r="B28" s="8" t="s">
        <v>603</v>
      </c>
      <c r="C28" s="10"/>
      <c r="D28" s="10"/>
      <c r="E28" s="10"/>
      <c r="F28" s="10"/>
      <c r="G28" s="10"/>
      <c r="H28" s="13" t="s">
        <v>309</v>
      </c>
      <c r="I28" s="10"/>
    </row>
    <row r="29" spans="1:9" x14ac:dyDescent="0.45">
      <c r="A29" s="8" t="s">
        <v>604</v>
      </c>
      <c r="B29" s="8" t="s">
        <v>605</v>
      </c>
      <c r="C29" s="10"/>
      <c r="D29" s="10"/>
      <c r="E29" s="10"/>
      <c r="F29" s="10"/>
      <c r="G29" s="10"/>
      <c r="H29" s="13" t="s">
        <v>309</v>
      </c>
      <c r="I29" s="10"/>
    </row>
    <row r="30" spans="1:9" x14ac:dyDescent="0.45">
      <c r="A30" s="2" t="s">
        <v>606</v>
      </c>
    </row>
    <row r="32" spans="1:9" x14ac:dyDescent="0.45">
      <c r="A32" s="3" t="s">
        <v>607</v>
      </c>
      <c r="B32" s="3"/>
      <c r="C32" s="3"/>
      <c r="D32" s="3"/>
      <c r="E32" s="3"/>
      <c r="F32" s="3"/>
      <c r="G32" s="3"/>
      <c r="H32" s="3"/>
      <c r="I32" s="3"/>
    </row>
    <row r="33" spans="1:6" x14ac:dyDescent="0.45">
      <c r="A33" s="6" t="s">
        <v>608</v>
      </c>
      <c r="B33" s="6" t="s">
        <v>258</v>
      </c>
      <c r="C33" s="6" t="s">
        <v>485</v>
      </c>
      <c r="D33" s="6" t="s">
        <v>272</v>
      </c>
      <c r="E33" s="6" t="s">
        <v>486</v>
      </c>
      <c r="F33" s="6" t="s">
        <v>491</v>
      </c>
    </row>
    <row r="34" spans="1:6" x14ac:dyDescent="0.45">
      <c r="A34" s="8" t="s">
        <v>609</v>
      </c>
      <c r="B34" s="8" t="s">
        <v>216</v>
      </c>
      <c r="C34" s="8" t="s">
        <v>504</v>
      </c>
      <c r="D34" s="8" t="s">
        <v>291</v>
      </c>
      <c r="E34" s="10">
        <v>1</v>
      </c>
      <c r="F34" s="18" t="s">
        <v>610</v>
      </c>
    </row>
    <row r="35" spans="1:6" x14ac:dyDescent="0.45">
      <c r="A35" s="8" t="s">
        <v>611</v>
      </c>
      <c r="B35" s="8" t="s">
        <v>216</v>
      </c>
      <c r="C35" s="8" t="s">
        <v>494</v>
      </c>
      <c r="D35" s="8" t="s">
        <v>612</v>
      </c>
      <c r="E35" s="10">
        <v>2</v>
      </c>
      <c r="F35" s="18" t="s">
        <v>613</v>
      </c>
    </row>
    <row r="36" spans="1:6" x14ac:dyDescent="0.45">
      <c r="A36" s="8" t="s">
        <v>614</v>
      </c>
      <c r="B36" s="8" t="s">
        <v>216</v>
      </c>
      <c r="C36" s="8" t="s">
        <v>615</v>
      </c>
      <c r="D36" s="8" t="s">
        <v>612</v>
      </c>
      <c r="E36" s="10">
        <v>3</v>
      </c>
      <c r="F36" s="18" t="s">
        <v>616</v>
      </c>
    </row>
    <row r="37" spans="1:6" x14ac:dyDescent="0.45">
      <c r="A37" s="8" t="s">
        <v>617</v>
      </c>
      <c r="B37" s="8" t="s">
        <v>216</v>
      </c>
      <c r="C37" s="8" t="s">
        <v>618</v>
      </c>
      <c r="D37" s="8" t="s">
        <v>619</v>
      </c>
      <c r="E37" s="10">
        <v>5</v>
      </c>
      <c r="F37" s="18" t="s">
        <v>620</v>
      </c>
    </row>
    <row r="38" spans="1:6" x14ac:dyDescent="0.45">
      <c r="A38" s="8" t="s">
        <v>621</v>
      </c>
      <c r="B38" s="8" t="s">
        <v>216</v>
      </c>
      <c r="C38" s="8" t="s">
        <v>618</v>
      </c>
      <c r="D38" s="8" t="s">
        <v>622</v>
      </c>
      <c r="E38" s="10">
        <v>1</v>
      </c>
      <c r="F38" s="18" t="s">
        <v>623</v>
      </c>
    </row>
    <row r="39" spans="1:6" x14ac:dyDescent="0.45">
      <c r="A39" s="8" t="s">
        <v>624</v>
      </c>
      <c r="B39" s="8" t="s">
        <v>217</v>
      </c>
      <c r="C39" s="8" t="s">
        <v>615</v>
      </c>
      <c r="D39" s="8" t="s">
        <v>612</v>
      </c>
      <c r="E39" s="10">
        <v>5</v>
      </c>
      <c r="F39" s="18" t="s">
        <v>625</v>
      </c>
    </row>
    <row r="40" spans="1:6" x14ac:dyDescent="0.45">
      <c r="A40" s="8" t="s">
        <v>626</v>
      </c>
      <c r="B40" s="8" t="s">
        <v>217</v>
      </c>
      <c r="C40" s="8" t="s">
        <v>618</v>
      </c>
      <c r="D40" s="8" t="s">
        <v>622</v>
      </c>
      <c r="E40" s="10">
        <v>2</v>
      </c>
      <c r="F40" s="18" t="s">
        <v>627</v>
      </c>
    </row>
    <row r="41" spans="1:6" x14ac:dyDescent="0.45">
      <c r="A41" s="8" t="s">
        <v>628</v>
      </c>
      <c r="B41" s="8" t="s">
        <v>217</v>
      </c>
      <c r="C41" s="8" t="s">
        <v>618</v>
      </c>
      <c r="D41" s="8" t="s">
        <v>619</v>
      </c>
      <c r="E41" s="10">
        <v>10</v>
      </c>
      <c r="F41" s="18" t="s">
        <v>629</v>
      </c>
    </row>
    <row r="42" spans="1:6" x14ac:dyDescent="0.45">
      <c r="A42" s="8" t="s">
        <v>630</v>
      </c>
      <c r="B42" s="8" t="s">
        <v>217</v>
      </c>
      <c r="C42" s="8" t="s">
        <v>631</v>
      </c>
      <c r="D42" s="8" t="s">
        <v>632</v>
      </c>
      <c r="E42" s="10">
        <v>3</v>
      </c>
      <c r="F42" s="18" t="s">
        <v>633</v>
      </c>
    </row>
    <row r="43" spans="1:6" x14ac:dyDescent="0.45">
      <c r="A43" s="8" t="s">
        <v>634</v>
      </c>
      <c r="B43" s="8" t="s">
        <v>217</v>
      </c>
      <c r="C43" s="8" t="s">
        <v>504</v>
      </c>
      <c r="D43" s="8" t="s">
        <v>612</v>
      </c>
      <c r="E43" s="10">
        <v>3</v>
      </c>
      <c r="F43" s="18" t="s">
        <v>635</v>
      </c>
    </row>
    <row r="44" spans="1:6" x14ac:dyDescent="0.45">
      <c r="A44" s="8" t="s">
        <v>636</v>
      </c>
      <c r="B44" s="8" t="s">
        <v>217</v>
      </c>
      <c r="C44" s="8" t="s">
        <v>510</v>
      </c>
      <c r="D44" s="8" t="s">
        <v>291</v>
      </c>
      <c r="E44" s="10">
        <v>8</v>
      </c>
      <c r="F44" s="18" t="s">
        <v>637</v>
      </c>
    </row>
    <row r="45" spans="1:6" x14ac:dyDescent="0.45">
      <c r="A45" s="8" t="s">
        <v>638</v>
      </c>
      <c r="B45" s="8" t="s">
        <v>218</v>
      </c>
      <c r="C45" s="8" t="s">
        <v>618</v>
      </c>
      <c r="D45" s="8" t="s">
        <v>639</v>
      </c>
      <c r="E45" s="10">
        <v>25</v>
      </c>
      <c r="F45" s="18" t="s">
        <v>640</v>
      </c>
    </row>
    <row r="46" spans="1:6" x14ac:dyDescent="0.45">
      <c r="A46" s="8" t="s">
        <v>641</v>
      </c>
      <c r="B46" s="8" t="s">
        <v>218</v>
      </c>
      <c r="C46" s="8" t="s">
        <v>618</v>
      </c>
      <c r="D46" s="8" t="s">
        <v>619</v>
      </c>
      <c r="E46" s="10">
        <v>15</v>
      </c>
      <c r="F46" s="18" t="s">
        <v>642</v>
      </c>
    </row>
    <row r="47" spans="1:6" x14ac:dyDescent="0.45">
      <c r="A47" s="8" t="s">
        <v>643</v>
      </c>
      <c r="B47" s="8" t="s">
        <v>218</v>
      </c>
      <c r="C47" s="8" t="s">
        <v>618</v>
      </c>
      <c r="D47" s="8" t="s">
        <v>644</v>
      </c>
      <c r="E47" s="10">
        <v>1</v>
      </c>
      <c r="F47" s="18" t="s">
        <v>645</v>
      </c>
    </row>
    <row r="48" spans="1:6" x14ac:dyDescent="0.45">
      <c r="A48" s="8" t="s">
        <v>646</v>
      </c>
      <c r="B48" s="8" t="s">
        <v>218</v>
      </c>
      <c r="C48" s="8" t="s">
        <v>494</v>
      </c>
      <c r="D48" s="8" t="s">
        <v>647</v>
      </c>
      <c r="E48" s="10">
        <v>8</v>
      </c>
      <c r="F48" s="18" t="s">
        <v>648</v>
      </c>
    </row>
    <row r="49" spans="1:9" x14ac:dyDescent="0.45">
      <c r="A49" s="8" t="s">
        <v>649</v>
      </c>
      <c r="B49" s="8" t="s">
        <v>218</v>
      </c>
      <c r="C49" s="8" t="s">
        <v>500</v>
      </c>
      <c r="D49" s="8" t="s">
        <v>650</v>
      </c>
      <c r="E49" s="10">
        <v>1</v>
      </c>
      <c r="F49" s="18" t="s">
        <v>651</v>
      </c>
    </row>
    <row r="50" spans="1:9" x14ac:dyDescent="0.45">
      <c r="A50" s="8" t="s">
        <v>652</v>
      </c>
      <c r="B50" s="8" t="s">
        <v>218</v>
      </c>
      <c r="C50" s="8" t="s">
        <v>631</v>
      </c>
      <c r="D50" s="8" t="s">
        <v>612</v>
      </c>
      <c r="E50" s="10">
        <v>1</v>
      </c>
      <c r="F50" s="18" t="s">
        <v>653</v>
      </c>
    </row>
    <row r="51" spans="1:9" x14ac:dyDescent="0.45">
      <c r="A51" s="8" t="s">
        <v>654</v>
      </c>
      <c r="B51" s="8" t="s">
        <v>218</v>
      </c>
      <c r="C51" s="8" t="s">
        <v>615</v>
      </c>
      <c r="D51" s="8" t="s">
        <v>289</v>
      </c>
      <c r="E51" s="10">
        <v>1</v>
      </c>
      <c r="F51" s="18" t="s">
        <v>655</v>
      </c>
    </row>
    <row r="52" spans="1:9" x14ac:dyDescent="0.45">
      <c r="A52" s="8" t="s">
        <v>656</v>
      </c>
      <c r="B52" s="8" t="s">
        <v>218</v>
      </c>
      <c r="C52" s="8" t="s">
        <v>504</v>
      </c>
      <c r="D52" s="8" t="s">
        <v>291</v>
      </c>
      <c r="E52" s="10">
        <v>2</v>
      </c>
      <c r="F52" s="18" t="s">
        <v>657</v>
      </c>
    </row>
    <row r="53" spans="1:9" x14ac:dyDescent="0.45">
      <c r="A53" s="8" t="s">
        <v>658</v>
      </c>
      <c r="B53" s="8" t="s">
        <v>218</v>
      </c>
      <c r="C53" s="8" t="s">
        <v>500</v>
      </c>
      <c r="D53" s="8" t="s">
        <v>659</v>
      </c>
      <c r="E53" s="10">
        <v>1</v>
      </c>
      <c r="F53" s="18" t="s">
        <v>660</v>
      </c>
    </row>
    <row r="54" spans="1:9" x14ac:dyDescent="0.45">
      <c r="A54" s="8" t="s">
        <v>661</v>
      </c>
      <c r="B54" s="8" t="s">
        <v>218</v>
      </c>
      <c r="C54" s="8" t="s">
        <v>510</v>
      </c>
      <c r="D54" s="8" t="s">
        <v>289</v>
      </c>
      <c r="E54" s="10">
        <v>1</v>
      </c>
      <c r="F54" s="18" t="s">
        <v>662</v>
      </c>
    </row>
    <row r="55" spans="1:9" x14ac:dyDescent="0.45">
      <c r="A55" s="8" t="s">
        <v>663</v>
      </c>
      <c r="B55" s="8" t="s">
        <v>219</v>
      </c>
      <c r="C55" s="8" t="s">
        <v>494</v>
      </c>
      <c r="D55" s="8" t="s">
        <v>289</v>
      </c>
      <c r="E55" s="10">
        <v>1</v>
      </c>
      <c r="F55" s="18" t="s">
        <v>664</v>
      </c>
    </row>
    <row r="56" spans="1:9" x14ac:dyDescent="0.45">
      <c r="A56" s="8" t="s">
        <v>665</v>
      </c>
      <c r="B56" s="8" t="s">
        <v>219</v>
      </c>
      <c r="C56" s="8" t="s">
        <v>618</v>
      </c>
      <c r="D56" s="8" t="s">
        <v>666</v>
      </c>
      <c r="E56" s="10">
        <v>1</v>
      </c>
      <c r="F56" s="18" t="s">
        <v>667</v>
      </c>
    </row>
    <row r="57" spans="1:9" x14ac:dyDescent="0.45">
      <c r="A57" s="8" t="s">
        <v>668</v>
      </c>
      <c r="B57" s="8" t="s">
        <v>219</v>
      </c>
      <c r="C57" s="8" t="s">
        <v>615</v>
      </c>
      <c r="D57" s="8" t="s">
        <v>289</v>
      </c>
      <c r="E57" s="10">
        <v>2</v>
      </c>
      <c r="F57" s="18" t="s">
        <v>669</v>
      </c>
    </row>
    <row r="58" spans="1:9" x14ac:dyDescent="0.45">
      <c r="A58" s="8" t="s">
        <v>670</v>
      </c>
      <c r="B58" s="8" t="s">
        <v>220</v>
      </c>
      <c r="C58" s="8" t="s">
        <v>618</v>
      </c>
      <c r="D58" s="8" t="s">
        <v>289</v>
      </c>
      <c r="E58" s="10">
        <v>1</v>
      </c>
      <c r="F58" s="18" t="s">
        <v>671</v>
      </c>
    </row>
    <row r="59" spans="1:9" x14ac:dyDescent="0.45">
      <c r="A59" s="8" t="s">
        <v>672</v>
      </c>
      <c r="B59" s="8" t="s">
        <v>220</v>
      </c>
      <c r="C59" s="8" t="s">
        <v>618</v>
      </c>
      <c r="D59" s="8" t="s">
        <v>666</v>
      </c>
      <c r="E59" s="10">
        <v>2</v>
      </c>
      <c r="F59" s="18" t="s">
        <v>673</v>
      </c>
    </row>
    <row r="60" spans="1:9" x14ac:dyDescent="0.45">
      <c r="A60" s="8" t="s">
        <v>674</v>
      </c>
      <c r="B60" s="8" t="s">
        <v>220</v>
      </c>
      <c r="C60" s="8" t="s">
        <v>618</v>
      </c>
      <c r="D60" s="8" t="s">
        <v>675</v>
      </c>
      <c r="E60" s="10">
        <v>1</v>
      </c>
      <c r="F60" s="18" t="s">
        <v>676</v>
      </c>
    </row>
    <row r="61" spans="1:9" x14ac:dyDescent="0.45">
      <c r="A61" s="8" t="s">
        <v>677</v>
      </c>
      <c r="B61" s="8" t="s">
        <v>220</v>
      </c>
      <c r="C61" s="8" t="s">
        <v>618</v>
      </c>
      <c r="D61" s="8" t="s">
        <v>678</v>
      </c>
      <c r="E61" s="10">
        <v>1</v>
      </c>
      <c r="F61" s="18" t="s">
        <v>679</v>
      </c>
    </row>
    <row r="62" spans="1:9" x14ac:dyDescent="0.45">
      <c r="A62" s="2" t="s">
        <v>680</v>
      </c>
    </row>
    <row r="64" spans="1:9" x14ac:dyDescent="0.45">
      <c r="A64" s="3" t="s">
        <v>681</v>
      </c>
      <c r="B64" s="3"/>
      <c r="C64" s="3"/>
      <c r="D64" s="3"/>
      <c r="E64" s="3"/>
      <c r="F64" s="3"/>
      <c r="G64" s="3"/>
      <c r="H64" s="3"/>
      <c r="I64" s="3"/>
    </row>
    <row r="65" spans="1:3" x14ac:dyDescent="0.45">
      <c r="A65" s="6" t="s">
        <v>682</v>
      </c>
      <c r="B65" s="6" t="s">
        <v>449</v>
      </c>
      <c r="C65" s="6" t="s">
        <v>683</v>
      </c>
    </row>
    <row r="66" spans="1:3" x14ac:dyDescent="0.45">
      <c r="A66" s="8" t="s">
        <v>684</v>
      </c>
      <c r="B66" s="8" t="s">
        <v>685</v>
      </c>
      <c r="C66" s="12">
        <f>ROUND(100*0.3,0)</f>
        <v>30</v>
      </c>
    </row>
    <row r="67" spans="1:3" x14ac:dyDescent="0.45">
      <c r="A67" s="8" t="s">
        <v>686</v>
      </c>
      <c r="B67" s="8" t="s">
        <v>687</v>
      </c>
      <c r="C67" s="12">
        <f>ROUND(100*0.3,0)</f>
        <v>30</v>
      </c>
    </row>
    <row r="68" spans="1:3" x14ac:dyDescent="0.45">
      <c r="A68" s="8" t="s">
        <v>688</v>
      </c>
      <c r="B68" s="8" t="s">
        <v>689</v>
      </c>
      <c r="C68" s="12">
        <f>ROUND(100*0.2,0)</f>
        <v>20</v>
      </c>
    </row>
    <row r="69" spans="1:3" x14ac:dyDescent="0.45">
      <c r="A69" s="8" t="s">
        <v>690</v>
      </c>
      <c r="B69" s="8" t="s">
        <v>691</v>
      </c>
      <c r="C69" s="12">
        <f>ROUND(100*0.1,0)</f>
        <v>10</v>
      </c>
    </row>
    <row r="70" spans="1:3" x14ac:dyDescent="0.45">
      <c r="A70" s="8" t="s">
        <v>692</v>
      </c>
      <c r="B70" s="8" t="s">
        <v>693</v>
      </c>
      <c r="C70" s="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4"/>
  <sheetViews>
    <sheetView showGridLines="0" workbookViewId="0"/>
  </sheetViews>
  <sheetFormatPr baseColWidth="10" defaultColWidth="9.06640625" defaultRowHeight="14.25" x14ac:dyDescent="0.45"/>
  <cols>
    <col min="1" max="1" width="30" customWidth="1"/>
    <col min="2" max="5" width="12" customWidth="1"/>
    <col min="6" max="6" width="40" customWidth="1"/>
  </cols>
  <sheetData>
    <row r="1" spans="1:6" ht="17.649999999999999" x14ac:dyDescent="0.5">
      <c r="A1" s="1" t="s">
        <v>694</v>
      </c>
    </row>
    <row r="2" spans="1:6" x14ac:dyDescent="0.45">
      <c r="A2" s="2" t="s">
        <v>695</v>
      </c>
    </row>
    <row r="4" spans="1:6" x14ac:dyDescent="0.45">
      <c r="A4" s="5" t="s">
        <v>696</v>
      </c>
      <c r="B4" s="10">
        <v>5</v>
      </c>
      <c r="C4" s="2" t="s">
        <v>697</v>
      </c>
    </row>
    <row r="5" spans="1:6" x14ac:dyDescent="0.45">
      <c r="A5" s="5" t="s">
        <v>698</v>
      </c>
      <c r="B5" s="10">
        <v>10</v>
      </c>
    </row>
    <row r="6" spans="1:6" x14ac:dyDescent="0.45">
      <c r="A6" s="6" t="s">
        <v>699</v>
      </c>
      <c r="B6" s="6" t="s">
        <v>700</v>
      </c>
      <c r="C6" s="6" t="s">
        <v>701</v>
      </c>
      <c r="D6" s="6" t="s">
        <v>702</v>
      </c>
      <c r="E6" s="6" t="s">
        <v>703</v>
      </c>
      <c r="F6" s="6" t="s">
        <v>273</v>
      </c>
    </row>
    <row r="7" spans="1:6" x14ac:dyDescent="0.45">
      <c r="A7" s="10">
        <v>7</v>
      </c>
      <c r="B7" s="12">
        <f t="shared" ref="B7:B33" si="0">CEILING(A7/$B$4,1)</f>
        <v>2</v>
      </c>
      <c r="C7" s="12">
        <f t="shared" ref="C7:C33" si="1">MIN(A7,3*$B$4)</f>
        <v>7</v>
      </c>
      <c r="D7" s="12">
        <f t="shared" ref="D7:D33" si="2">INT(10*$B$4/A7)</f>
        <v>7</v>
      </c>
      <c r="E7" s="16">
        <f t="shared" ref="E7:E33" si="3">MIN(1,$B$4/A7)</f>
        <v>0.7142857142857143</v>
      </c>
      <c r="F7" s="18" t="s">
        <v>704</v>
      </c>
    </row>
    <row r="8" spans="1:6" x14ac:dyDescent="0.45">
      <c r="A8" s="10">
        <v>8</v>
      </c>
      <c r="B8" s="12">
        <f t="shared" si="0"/>
        <v>2</v>
      </c>
      <c r="C8" s="12">
        <f t="shared" si="1"/>
        <v>8</v>
      </c>
      <c r="D8" s="12">
        <f t="shared" si="2"/>
        <v>6</v>
      </c>
      <c r="E8" s="16">
        <f t="shared" si="3"/>
        <v>0.625</v>
      </c>
      <c r="F8" s="18"/>
    </row>
    <row r="9" spans="1:6" x14ac:dyDescent="0.45">
      <c r="A9" s="10">
        <v>9</v>
      </c>
      <c r="B9" s="12">
        <f t="shared" si="0"/>
        <v>2</v>
      </c>
      <c r="C9" s="12">
        <f t="shared" si="1"/>
        <v>9</v>
      </c>
      <c r="D9" s="12">
        <f t="shared" si="2"/>
        <v>5</v>
      </c>
      <c r="E9" s="16">
        <f t="shared" si="3"/>
        <v>0.55555555555555558</v>
      </c>
      <c r="F9" s="18"/>
    </row>
    <row r="10" spans="1:6" x14ac:dyDescent="0.45">
      <c r="A10" s="10">
        <v>10</v>
      </c>
      <c r="B10" s="12">
        <f t="shared" si="0"/>
        <v>2</v>
      </c>
      <c r="C10" s="12">
        <f t="shared" si="1"/>
        <v>10</v>
      </c>
      <c r="D10" s="12">
        <f t="shared" si="2"/>
        <v>5</v>
      </c>
      <c r="E10" s="16">
        <f t="shared" si="3"/>
        <v>0.5</v>
      </c>
      <c r="F10" s="18"/>
    </row>
    <row r="11" spans="1:6" x14ac:dyDescent="0.45">
      <c r="A11" s="10">
        <v>11</v>
      </c>
      <c r="B11" s="12">
        <f t="shared" si="0"/>
        <v>3</v>
      </c>
      <c r="C11" s="12">
        <f t="shared" si="1"/>
        <v>11</v>
      </c>
      <c r="D11" s="12">
        <f t="shared" si="2"/>
        <v>4</v>
      </c>
      <c r="E11" s="16">
        <f t="shared" si="3"/>
        <v>0.45454545454545453</v>
      </c>
      <c r="F11" s="18"/>
    </row>
    <row r="12" spans="1:6" x14ac:dyDescent="0.45">
      <c r="A12" s="10">
        <v>12</v>
      </c>
      <c r="B12" s="12">
        <f t="shared" si="0"/>
        <v>3</v>
      </c>
      <c r="C12" s="12">
        <f t="shared" si="1"/>
        <v>12</v>
      </c>
      <c r="D12" s="12">
        <f t="shared" si="2"/>
        <v>4</v>
      </c>
      <c r="E12" s="16">
        <f t="shared" si="3"/>
        <v>0.41666666666666669</v>
      </c>
      <c r="F12" s="18"/>
    </row>
    <row r="13" spans="1:6" x14ac:dyDescent="0.45">
      <c r="A13" s="10">
        <v>13</v>
      </c>
      <c r="B13" s="12">
        <f t="shared" si="0"/>
        <v>3</v>
      </c>
      <c r="C13" s="12">
        <f t="shared" si="1"/>
        <v>13</v>
      </c>
      <c r="D13" s="12">
        <f t="shared" si="2"/>
        <v>3</v>
      </c>
      <c r="E13" s="16">
        <f t="shared" si="3"/>
        <v>0.38461538461538464</v>
      </c>
      <c r="F13" s="18"/>
    </row>
    <row r="14" spans="1:6" x14ac:dyDescent="0.45">
      <c r="A14" s="10">
        <v>14</v>
      </c>
      <c r="B14" s="12">
        <f t="shared" si="0"/>
        <v>3</v>
      </c>
      <c r="C14" s="12">
        <f t="shared" si="1"/>
        <v>14</v>
      </c>
      <c r="D14" s="12">
        <f t="shared" si="2"/>
        <v>3</v>
      </c>
      <c r="E14" s="16">
        <f t="shared" si="3"/>
        <v>0.35714285714285715</v>
      </c>
      <c r="F14" s="18"/>
    </row>
    <row r="15" spans="1:6" x14ac:dyDescent="0.45">
      <c r="A15" s="10">
        <v>15</v>
      </c>
      <c r="B15" s="12">
        <f t="shared" si="0"/>
        <v>3</v>
      </c>
      <c r="C15" s="12">
        <f t="shared" si="1"/>
        <v>15</v>
      </c>
      <c r="D15" s="12">
        <f t="shared" si="2"/>
        <v>3</v>
      </c>
      <c r="E15" s="16">
        <f t="shared" si="3"/>
        <v>0.33333333333333331</v>
      </c>
      <c r="F15" s="18"/>
    </row>
    <row r="16" spans="1:6" x14ac:dyDescent="0.45">
      <c r="A16" s="10">
        <v>16</v>
      </c>
      <c r="B16" s="12">
        <f t="shared" si="0"/>
        <v>4</v>
      </c>
      <c r="C16" s="12">
        <f t="shared" si="1"/>
        <v>15</v>
      </c>
      <c r="D16" s="12">
        <f t="shared" si="2"/>
        <v>3</v>
      </c>
      <c r="E16" s="16">
        <f t="shared" si="3"/>
        <v>0.3125</v>
      </c>
      <c r="F16" s="18"/>
    </row>
    <row r="17" spans="1:6" x14ac:dyDescent="0.45">
      <c r="A17" s="10">
        <v>17</v>
      </c>
      <c r="B17" s="12">
        <f t="shared" si="0"/>
        <v>4</v>
      </c>
      <c r="C17" s="12">
        <f t="shared" si="1"/>
        <v>15</v>
      </c>
      <c r="D17" s="12">
        <f t="shared" si="2"/>
        <v>2</v>
      </c>
      <c r="E17" s="16">
        <f t="shared" si="3"/>
        <v>0.29411764705882354</v>
      </c>
      <c r="F17" s="18"/>
    </row>
    <row r="18" spans="1:6" x14ac:dyDescent="0.45">
      <c r="A18" s="10">
        <v>18</v>
      </c>
      <c r="B18" s="12">
        <f t="shared" si="0"/>
        <v>4</v>
      </c>
      <c r="C18" s="12">
        <f t="shared" si="1"/>
        <v>15</v>
      </c>
      <c r="D18" s="12">
        <f t="shared" si="2"/>
        <v>2</v>
      </c>
      <c r="E18" s="16">
        <f t="shared" si="3"/>
        <v>0.27777777777777779</v>
      </c>
      <c r="F18" s="18"/>
    </row>
    <row r="19" spans="1:6" x14ac:dyDescent="0.45">
      <c r="A19" s="10">
        <v>19</v>
      </c>
      <c r="B19" s="12">
        <f t="shared" si="0"/>
        <v>4</v>
      </c>
      <c r="C19" s="12">
        <f t="shared" si="1"/>
        <v>15</v>
      </c>
      <c r="D19" s="12">
        <f t="shared" si="2"/>
        <v>2</v>
      </c>
      <c r="E19" s="16">
        <f t="shared" si="3"/>
        <v>0.26315789473684209</v>
      </c>
      <c r="F19" s="18"/>
    </row>
    <row r="20" spans="1:6" x14ac:dyDescent="0.45">
      <c r="A20" s="10">
        <v>20</v>
      </c>
      <c r="B20" s="12">
        <f t="shared" si="0"/>
        <v>4</v>
      </c>
      <c r="C20" s="12">
        <f t="shared" si="1"/>
        <v>15</v>
      </c>
      <c r="D20" s="12">
        <f t="shared" si="2"/>
        <v>2</v>
      </c>
      <c r="E20" s="16">
        <f t="shared" si="3"/>
        <v>0.25</v>
      </c>
      <c r="F20" s="18"/>
    </row>
    <row r="21" spans="1:6" x14ac:dyDescent="0.45">
      <c r="A21" s="10">
        <v>21</v>
      </c>
      <c r="B21" s="12">
        <f t="shared" si="0"/>
        <v>5</v>
      </c>
      <c r="C21" s="12">
        <f t="shared" si="1"/>
        <v>15</v>
      </c>
      <c r="D21" s="12">
        <f t="shared" si="2"/>
        <v>2</v>
      </c>
      <c r="E21" s="16">
        <f t="shared" si="3"/>
        <v>0.23809523809523808</v>
      </c>
      <c r="F21" s="18"/>
    </row>
    <row r="22" spans="1:6" x14ac:dyDescent="0.45">
      <c r="A22" s="10">
        <v>22</v>
      </c>
      <c r="B22" s="12">
        <f t="shared" si="0"/>
        <v>5</v>
      </c>
      <c r="C22" s="12">
        <f t="shared" si="1"/>
        <v>15</v>
      </c>
      <c r="D22" s="12">
        <f t="shared" si="2"/>
        <v>2</v>
      </c>
      <c r="E22" s="16">
        <f t="shared" si="3"/>
        <v>0.22727272727272727</v>
      </c>
      <c r="F22" s="18"/>
    </row>
    <row r="23" spans="1:6" x14ac:dyDescent="0.45">
      <c r="A23" s="10">
        <v>23</v>
      </c>
      <c r="B23" s="12">
        <f t="shared" si="0"/>
        <v>5</v>
      </c>
      <c r="C23" s="12">
        <f t="shared" si="1"/>
        <v>15</v>
      </c>
      <c r="D23" s="12">
        <f t="shared" si="2"/>
        <v>2</v>
      </c>
      <c r="E23" s="16">
        <f t="shared" si="3"/>
        <v>0.21739130434782608</v>
      </c>
      <c r="F23" s="18"/>
    </row>
    <row r="24" spans="1:6" x14ac:dyDescent="0.45">
      <c r="A24" s="10">
        <v>24</v>
      </c>
      <c r="B24" s="12">
        <f t="shared" si="0"/>
        <v>5</v>
      </c>
      <c r="C24" s="12">
        <f t="shared" si="1"/>
        <v>15</v>
      </c>
      <c r="D24" s="12">
        <f t="shared" si="2"/>
        <v>2</v>
      </c>
      <c r="E24" s="16">
        <f t="shared" si="3"/>
        <v>0.20833333333333334</v>
      </c>
      <c r="F24" s="18"/>
    </row>
    <row r="25" spans="1:6" x14ac:dyDescent="0.45">
      <c r="A25" s="10">
        <v>25</v>
      </c>
      <c r="B25" s="12">
        <f t="shared" si="0"/>
        <v>5</v>
      </c>
      <c r="C25" s="12">
        <f t="shared" si="1"/>
        <v>15</v>
      </c>
      <c r="D25" s="12">
        <f t="shared" si="2"/>
        <v>2</v>
      </c>
      <c r="E25" s="16">
        <f t="shared" si="3"/>
        <v>0.2</v>
      </c>
      <c r="F25" s="18"/>
    </row>
    <row r="26" spans="1:6" x14ac:dyDescent="0.45">
      <c r="A26" s="10">
        <v>26</v>
      </c>
      <c r="B26" s="12">
        <f t="shared" si="0"/>
        <v>6</v>
      </c>
      <c r="C26" s="12">
        <f t="shared" si="1"/>
        <v>15</v>
      </c>
      <c r="D26" s="12">
        <f t="shared" si="2"/>
        <v>1</v>
      </c>
      <c r="E26" s="16">
        <f t="shared" si="3"/>
        <v>0.19230769230769232</v>
      </c>
      <c r="F26" s="18"/>
    </row>
    <row r="27" spans="1:6" x14ac:dyDescent="0.45">
      <c r="A27" s="10">
        <v>27</v>
      </c>
      <c r="B27" s="12">
        <f t="shared" si="0"/>
        <v>6</v>
      </c>
      <c r="C27" s="12">
        <f t="shared" si="1"/>
        <v>15</v>
      </c>
      <c r="D27" s="12">
        <f t="shared" si="2"/>
        <v>1</v>
      </c>
      <c r="E27" s="16">
        <f t="shared" si="3"/>
        <v>0.18518518518518517</v>
      </c>
      <c r="F27" s="18"/>
    </row>
    <row r="28" spans="1:6" x14ac:dyDescent="0.45">
      <c r="A28" s="10">
        <v>28</v>
      </c>
      <c r="B28" s="12">
        <f t="shared" si="0"/>
        <v>6</v>
      </c>
      <c r="C28" s="12">
        <f t="shared" si="1"/>
        <v>15</v>
      </c>
      <c r="D28" s="12">
        <f t="shared" si="2"/>
        <v>1</v>
      </c>
      <c r="E28" s="16">
        <f t="shared" si="3"/>
        <v>0.17857142857142858</v>
      </c>
      <c r="F28" s="18"/>
    </row>
    <row r="29" spans="1:6" x14ac:dyDescent="0.45">
      <c r="A29" s="10">
        <v>29</v>
      </c>
      <c r="B29" s="12">
        <f t="shared" si="0"/>
        <v>6</v>
      </c>
      <c r="C29" s="12">
        <f t="shared" si="1"/>
        <v>15</v>
      </c>
      <c r="D29" s="12">
        <f t="shared" si="2"/>
        <v>1</v>
      </c>
      <c r="E29" s="16">
        <f t="shared" si="3"/>
        <v>0.17241379310344829</v>
      </c>
      <c r="F29" s="18"/>
    </row>
    <row r="30" spans="1:6" x14ac:dyDescent="0.45">
      <c r="A30" s="10">
        <v>30</v>
      </c>
      <c r="B30" s="12">
        <f t="shared" si="0"/>
        <v>6</v>
      </c>
      <c r="C30" s="12">
        <f t="shared" si="1"/>
        <v>15</v>
      </c>
      <c r="D30" s="12">
        <f t="shared" si="2"/>
        <v>1</v>
      </c>
      <c r="E30" s="16">
        <f t="shared" si="3"/>
        <v>0.16666666666666666</v>
      </c>
      <c r="F30" s="18"/>
    </row>
    <row r="31" spans="1:6" x14ac:dyDescent="0.45">
      <c r="A31" s="10">
        <v>35</v>
      </c>
      <c r="B31" s="12">
        <f t="shared" si="0"/>
        <v>7</v>
      </c>
      <c r="C31" s="12">
        <f t="shared" si="1"/>
        <v>15</v>
      </c>
      <c r="D31" s="12">
        <f t="shared" si="2"/>
        <v>1</v>
      </c>
      <c r="E31" s="16">
        <f t="shared" si="3"/>
        <v>0.14285714285714285</v>
      </c>
      <c r="F31" s="18"/>
    </row>
    <row r="32" spans="1:6" x14ac:dyDescent="0.45">
      <c r="A32" s="10">
        <v>40</v>
      </c>
      <c r="B32" s="12">
        <f t="shared" si="0"/>
        <v>8</v>
      </c>
      <c r="C32" s="12">
        <f t="shared" si="1"/>
        <v>15</v>
      </c>
      <c r="D32" s="12">
        <f t="shared" si="2"/>
        <v>1</v>
      </c>
      <c r="E32" s="16">
        <f t="shared" si="3"/>
        <v>0.125</v>
      </c>
      <c r="F32" s="18"/>
    </row>
    <row r="33" spans="1:6" x14ac:dyDescent="0.45">
      <c r="A33" s="10">
        <v>50</v>
      </c>
      <c r="B33" s="12">
        <f t="shared" si="0"/>
        <v>10</v>
      </c>
      <c r="C33" s="12">
        <f t="shared" si="1"/>
        <v>15</v>
      </c>
      <c r="D33" s="12">
        <f t="shared" si="2"/>
        <v>1</v>
      </c>
      <c r="E33" s="16">
        <f t="shared" si="3"/>
        <v>0.1</v>
      </c>
      <c r="F33" s="18"/>
    </row>
    <row r="34" spans="1:6" x14ac:dyDescent="0.45">
      <c r="A34" s="2" t="s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Lisez-moi</vt:lpstr>
      <vt:lpstr>Difficulté par acte</vt:lpstr>
      <vt:lpstr>Ennemis par acte</vt:lpstr>
      <vt:lpstr>Calculateur de combat</vt:lpstr>
      <vt:lpstr>Courbe d'XP</vt:lpstr>
      <vt:lpstr>Économie (or)</vt:lpstr>
      <vt:lpstr>Cartes &amp; rareté</vt:lpstr>
      <vt:lpstr>Runes (valeurs)</vt:lpstr>
      <vt:lpstr>Dégâts &amp; statuts</vt:lpstr>
      <vt:lpstr>Passifs &amp; Maîtrise</vt:lpstr>
      <vt:lpstr>Héros &amp; récompenses</vt:lpstr>
      <vt:lpstr>Main &amp; pioche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NEWB Umbra</cp:lastModifiedBy>
  <dcterms:created xsi:type="dcterms:W3CDTF">2026-10-13T09:24:48Z</dcterms:created>
  <dcterms:modified xsi:type="dcterms:W3CDTF">2026-10-13T09:25:04Z</dcterms:modified>
</cp:coreProperties>
</file>